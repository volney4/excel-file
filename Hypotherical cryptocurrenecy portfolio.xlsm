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465" windowWidth="25605" windowHeight="14280"/>
  </bookViews>
  <sheets>
    <sheet name="Tracker" sheetId="2" r:id="rId1"/>
    <sheet name="Price indx" sheetId="1" r:id="rId2"/>
  </sheets>
  <definedNames>
    <definedName name="coinmarketcap" localSheetId="1">'Price indx'!$A$1:$H$301</definedName>
  </definedNames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2" l="1"/>
  <c r="F5" i="2"/>
  <c r="F6" i="2"/>
  <c r="F7" i="2"/>
  <c r="F8" i="2"/>
  <c r="H8" i="2" s="1"/>
  <c r="I8" i="2" s="1"/>
  <c r="F9" i="2"/>
  <c r="F10" i="2"/>
  <c r="F11" i="2"/>
  <c r="F12" i="2"/>
  <c r="H12" i="2" s="1"/>
  <c r="I12" i="2" s="1"/>
  <c r="F13" i="2"/>
  <c r="F14" i="2"/>
  <c r="F15" i="2"/>
  <c r="F16" i="2"/>
  <c r="H16" i="2" s="1"/>
  <c r="I16" i="2" s="1"/>
  <c r="F17" i="2"/>
  <c r="F18" i="2"/>
  <c r="F19" i="2"/>
  <c r="F20" i="2"/>
  <c r="F21" i="2"/>
  <c r="F22" i="2"/>
  <c r="F23" i="2"/>
  <c r="F24" i="2"/>
  <c r="F25" i="2"/>
  <c r="F26" i="2"/>
  <c r="F27" i="2"/>
  <c r="F28" i="2"/>
  <c r="H28" i="2" s="1"/>
  <c r="F29" i="2"/>
  <c r="F30" i="2"/>
  <c r="F31" i="2"/>
  <c r="F32" i="2"/>
  <c r="H32" i="2" s="1"/>
  <c r="I32" i="2" s="1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H48" i="2" s="1"/>
  <c r="F49" i="2"/>
  <c r="F50" i="2"/>
  <c r="F51" i="2"/>
  <c r="F52" i="2"/>
  <c r="H52" i="2" s="1"/>
  <c r="F53" i="2"/>
  <c r="F54" i="2"/>
  <c r="F55" i="2"/>
  <c r="F56" i="2"/>
  <c r="F57" i="2"/>
  <c r="F4" i="2"/>
  <c r="H4" i="2" s="1"/>
  <c r="H5" i="2"/>
  <c r="I5" i="2" s="1"/>
  <c r="H6" i="2"/>
  <c r="I6" i="2" s="1"/>
  <c r="H7" i="2"/>
  <c r="I7" i="2" s="1"/>
  <c r="H9" i="2"/>
  <c r="I9" i="2" s="1"/>
  <c r="H10" i="2"/>
  <c r="I10" i="2" s="1"/>
  <c r="H11" i="2"/>
  <c r="I11" i="2" s="1"/>
  <c r="H13" i="2"/>
  <c r="I13" i="2" s="1"/>
  <c r="H15" i="2"/>
  <c r="I15" i="2" s="1"/>
  <c r="H18" i="2"/>
  <c r="I18" i="2" s="1"/>
  <c r="H19" i="2"/>
  <c r="H20" i="2"/>
  <c r="H21" i="2"/>
  <c r="I21" i="2" s="1"/>
  <c r="H22" i="2"/>
  <c r="I22" i="2" s="1"/>
  <c r="H23" i="2"/>
  <c r="I23" i="2" s="1"/>
  <c r="H24" i="2"/>
  <c r="I24" i="2" s="1"/>
  <c r="H27" i="2"/>
  <c r="H29" i="2"/>
  <c r="H30" i="2"/>
  <c r="H31" i="2"/>
  <c r="H35" i="2"/>
  <c r="I35" i="2" s="1"/>
  <c r="H36" i="2"/>
  <c r="I36" i="2" s="1"/>
  <c r="H37" i="2"/>
  <c r="H38" i="2"/>
  <c r="I38" i="2" s="1"/>
  <c r="H39" i="2"/>
  <c r="I39" i="2" s="1"/>
  <c r="H40" i="2"/>
  <c r="H41" i="2"/>
  <c r="H42" i="2"/>
  <c r="H43" i="2"/>
  <c r="H44" i="2"/>
  <c r="H45" i="2"/>
  <c r="H49" i="2"/>
  <c r="H50" i="2"/>
  <c r="H51" i="2"/>
  <c r="H55" i="2"/>
  <c r="H56" i="2"/>
  <c r="H57" i="2"/>
  <c r="H14" i="2"/>
  <c r="I14" i="2" s="1"/>
  <c r="H25" i="2"/>
  <c r="I25" i="2" s="1"/>
  <c r="H34" i="2"/>
  <c r="H46" i="2"/>
  <c r="H47" i="2"/>
  <c r="H53" i="2"/>
  <c r="H54" i="2"/>
  <c r="H17" i="2"/>
  <c r="H26" i="2"/>
  <c r="I26" i="2" s="1"/>
  <c r="H33" i="2"/>
  <c r="I33" i="2" s="1"/>
  <c r="I17" i="2" l="1"/>
  <c r="I19" i="2"/>
  <c r="I27" i="2"/>
  <c r="I29" i="2"/>
  <c r="I30" i="2"/>
  <c r="I31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I20" i="2"/>
  <c r="I28" i="2"/>
  <c r="F501" i="2" l="1"/>
  <c r="H501" i="2" s="1"/>
  <c r="I501" i="2" s="1"/>
  <c r="F502" i="2"/>
  <c r="H502" i="2" s="1"/>
  <c r="I502" i="2" s="1"/>
  <c r="F503" i="2"/>
  <c r="H503" i="2" s="1"/>
  <c r="I503" i="2" s="1"/>
  <c r="F504" i="2"/>
  <c r="H504" i="2" s="1"/>
  <c r="I504" i="2" s="1"/>
  <c r="F505" i="2"/>
  <c r="H505" i="2" s="1"/>
  <c r="I505" i="2" s="1"/>
  <c r="F506" i="2"/>
  <c r="H506" i="2" s="1"/>
  <c r="I506" i="2" s="1"/>
  <c r="F507" i="2"/>
  <c r="H507" i="2" s="1"/>
  <c r="I507" i="2" s="1"/>
  <c r="F508" i="2"/>
  <c r="H508" i="2" s="1"/>
  <c r="I508" i="2" s="1"/>
  <c r="F509" i="2"/>
  <c r="H509" i="2" s="1"/>
  <c r="I509" i="2" s="1"/>
  <c r="F510" i="2"/>
  <c r="H510" i="2" s="1"/>
  <c r="I510" i="2" s="1"/>
  <c r="F511" i="2"/>
  <c r="H511" i="2" s="1"/>
  <c r="I511" i="2" s="1"/>
  <c r="F512" i="2"/>
  <c r="H512" i="2" s="1"/>
  <c r="I512" i="2" s="1"/>
  <c r="F513" i="2"/>
  <c r="H513" i="2" s="1"/>
  <c r="I513" i="2" s="1"/>
  <c r="F514" i="2"/>
  <c r="H514" i="2" s="1"/>
  <c r="I514" i="2" s="1"/>
  <c r="F515" i="2"/>
  <c r="H515" i="2" s="1"/>
  <c r="I515" i="2" s="1"/>
  <c r="F516" i="2"/>
  <c r="H516" i="2" s="1"/>
  <c r="I516" i="2" s="1"/>
  <c r="F517" i="2"/>
  <c r="H517" i="2" s="1"/>
  <c r="I517" i="2" s="1"/>
  <c r="F518" i="2"/>
  <c r="H518" i="2" s="1"/>
  <c r="I518" i="2" s="1"/>
  <c r="F519" i="2"/>
  <c r="H519" i="2" s="1"/>
  <c r="I519" i="2" s="1"/>
  <c r="F520" i="2"/>
  <c r="H520" i="2" s="1"/>
  <c r="I520" i="2" s="1"/>
  <c r="F521" i="2"/>
  <c r="H521" i="2" s="1"/>
  <c r="I521" i="2" s="1"/>
  <c r="F522" i="2"/>
  <c r="H522" i="2" s="1"/>
  <c r="I522" i="2" s="1"/>
  <c r="F523" i="2"/>
  <c r="H523" i="2" s="1"/>
  <c r="I523" i="2" s="1"/>
  <c r="F524" i="2"/>
  <c r="H524" i="2" s="1"/>
  <c r="I524" i="2" s="1"/>
  <c r="F525" i="2"/>
  <c r="H525" i="2" s="1"/>
  <c r="I525" i="2" s="1"/>
  <c r="F526" i="2"/>
  <c r="H526" i="2" s="1"/>
  <c r="I526" i="2" s="1"/>
  <c r="O4" i="2" l="1"/>
  <c r="I48" i="2"/>
  <c r="H128" i="2"/>
  <c r="I128" i="2" s="1"/>
  <c r="H144" i="2"/>
  <c r="I144" i="2" s="1"/>
  <c r="H160" i="2"/>
  <c r="I160" i="2" s="1"/>
  <c r="H176" i="2"/>
  <c r="I176" i="2" s="1"/>
  <c r="H192" i="2"/>
  <c r="I192" i="2" s="1"/>
  <c r="H208" i="2"/>
  <c r="I208" i="2" s="1"/>
  <c r="H224" i="2"/>
  <c r="I224" i="2" s="1"/>
  <c r="H240" i="2"/>
  <c r="I240" i="2" s="1"/>
  <c r="H256" i="2"/>
  <c r="I256" i="2" s="1"/>
  <c r="H272" i="2"/>
  <c r="I272" i="2" s="1"/>
  <c r="H288" i="2"/>
  <c r="I288" i="2" s="1"/>
  <c r="H304" i="2"/>
  <c r="I304" i="2" s="1"/>
  <c r="H320" i="2"/>
  <c r="I320" i="2" s="1"/>
  <c r="H336" i="2"/>
  <c r="I336" i="2" s="1"/>
  <c r="I49" i="2"/>
  <c r="H129" i="2"/>
  <c r="I129" i="2" s="1"/>
  <c r="H145" i="2"/>
  <c r="I145" i="2" s="1"/>
  <c r="I44" i="2"/>
  <c r="I52" i="2"/>
  <c r="H132" i="2"/>
  <c r="I132" i="2" s="1"/>
  <c r="H140" i="2"/>
  <c r="I140" i="2" s="1"/>
  <c r="H148" i="2"/>
  <c r="I148" i="2" s="1"/>
  <c r="H156" i="2"/>
  <c r="I156" i="2" s="1"/>
  <c r="H164" i="2"/>
  <c r="I164" i="2" s="1"/>
  <c r="H172" i="2"/>
  <c r="I172" i="2" s="1"/>
  <c r="H180" i="2"/>
  <c r="I180" i="2" s="1"/>
  <c r="H188" i="2"/>
  <c r="I188" i="2" s="1"/>
  <c r="H196" i="2"/>
  <c r="I196" i="2" s="1"/>
  <c r="H204" i="2"/>
  <c r="I204" i="2" s="1"/>
  <c r="H212" i="2"/>
  <c r="I212" i="2" s="1"/>
  <c r="H220" i="2"/>
  <c r="I220" i="2" s="1"/>
  <c r="H228" i="2"/>
  <c r="I228" i="2" s="1"/>
  <c r="H236" i="2"/>
  <c r="I236" i="2" s="1"/>
  <c r="H244" i="2"/>
  <c r="I244" i="2" s="1"/>
  <c r="H252" i="2"/>
  <c r="I252" i="2" s="1"/>
  <c r="H260" i="2"/>
  <c r="I260" i="2" s="1"/>
  <c r="H268" i="2"/>
  <c r="I268" i="2" s="1"/>
  <c r="H276" i="2"/>
  <c r="I276" i="2" s="1"/>
  <c r="H284" i="2"/>
  <c r="I284" i="2" s="1"/>
  <c r="H292" i="2"/>
  <c r="I292" i="2" s="1"/>
  <c r="H300" i="2"/>
  <c r="I300" i="2" s="1"/>
  <c r="H308" i="2"/>
  <c r="I308" i="2" s="1"/>
  <c r="H316" i="2"/>
  <c r="I316" i="2" s="1"/>
  <c r="H324" i="2"/>
  <c r="I324" i="2" s="1"/>
  <c r="H332" i="2"/>
  <c r="I332" i="2" s="1"/>
  <c r="H340" i="2"/>
  <c r="I340" i="2" s="1"/>
  <c r="I37" i="2"/>
  <c r="I40" i="2"/>
  <c r="I56" i="2"/>
  <c r="H136" i="2"/>
  <c r="I136" i="2" s="1"/>
  <c r="H152" i="2"/>
  <c r="I152" i="2" s="1"/>
  <c r="H168" i="2"/>
  <c r="I168" i="2" s="1"/>
  <c r="H232" i="2"/>
  <c r="I232" i="2" s="1"/>
  <c r="H296" i="2"/>
  <c r="I296" i="2" s="1"/>
  <c r="I53" i="2"/>
  <c r="H149" i="2"/>
  <c r="I149" i="2" s="1"/>
  <c r="H216" i="2"/>
  <c r="I216" i="2" s="1"/>
  <c r="H280" i="2"/>
  <c r="I280" i="2" s="1"/>
  <c r="I41" i="2"/>
  <c r="H137" i="2"/>
  <c r="I137" i="2" s="1"/>
  <c r="H161" i="2"/>
  <c r="I161" i="2" s="1"/>
  <c r="H177" i="2"/>
  <c r="I177" i="2" s="1"/>
  <c r="H193" i="2"/>
  <c r="I193" i="2" s="1"/>
  <c r="I54" i="2"/>
  <c r="H135" i="2"/>
  <c r="I135" i="2" s="1"/>
  <c r="H167" i="2"/>
  <c r="I167" i="2" s="1"/>
  <c r="H199" i="2"/>
  <c r="I199" i="2" s="1"/>
  <c r="H223" i="2"/>
  <c r="I223" i="2" s="1"/>
  <c r="H245" i="2"/>
  <c r="I245" i="2" s="1"/>
  <c r="H266" i="2"/>
  <c r="I266" i="2" s="1"/>
  <c r="H287" i="2"/>
  <c r="I287" i="2" s="1"/>
  <c r="H309" i="2"/>
  <c r="I309" i="2" s="1"/>
  <c r="H330" i="2"/>
  <c r="I330" i="2" s="1"/>
  <c r="H349" i="2"/>
  <c r="I349" i="2" s="1"/>
  <c r="H365" i="2"/>
  <c r="I365" i="2" s="1"/>
  <c r="H381" i="2"/>
  <c r="I381" i="2" s="1"/>
  <c r="H397" i="2"/>
  <c r="I397" i="2" s="1"/>
  <c r="H413" i="2"/>
  <c r="I413" i="2" s="1"/>
  <c r="H200" i="2"/>
  <c r="I200" i="2" s="1"/>
  <c r="H264" i="2"/>
  <c r="I264" i="2" s="1"/>
  <c r="H328" i="2"/>
  <c r="I328" i="2" s="1"/>
  <c r="I45" i="2"/>
  <c r="H133" i="2"/>
  <c r="I133" i="2" s="1"/>
  <c r="H141" i="2"/>
  <c r="I141" i="2" s="1"/>
  <c r="H153" i="2"/>
  <c r="I153" i="2" s="1"/>
  <c r="H157" i="2"/>
  <c r="I157" i="2" s="1"/>
  <c r="H165" i="2"/>
  <c r="I165" i="2" s="1"/>
  <c r="H173" i="2"/>
  <c r="I173" i="2" s="1"/>
  <c r="H181" i="2"/>
  <c r="I181" i="2" s="1"/>
  <c r="H189" i="2"/>
  <c r="I189" i="2" s="1"/>
  <c r="H197" i="2"/>
  <c r="I197" i="2" s="1"/>
  <c r="H205" i="2"/>
  <c r="I205" i="2" s="1"/>
  <c r="I50" i="2"/>
  <c r="H127" i="2"/>
  <c r="I127" i="2" s="1"/>
  <c r="H143" i="2"/>
  <c r="I143" i="2" s="1"/>
  <c r="H159" i="2"/>
  <c r="I159" i="2" s="1"/>
  <c r="H175" i="2"/>
  <c r="I175" i="2" s="1"/>
  <c r="H191" i="2"/>
  <c r="I191" i="2" s="1"/>
  <c r="H207" i="2"/>
  <c r="I207" i="2" s="1"/>
  <c r="H218" i="2"/>
  <c r="I218" i="2" s="1"/>
  <c r="H229" i="2"/>
  <c r="I229" i="2" s="1"/>
  <c r="H239" i="2"/>
  <c r="I239" i="2" s="1"/>
  <c r="H250" i="2"/>
  <c r="I250" i="2" s="1"/>
  <c r="H261" i="2"/>
  <c r="I261" i="2" s="1"/>
  <c r="H271" i="2"/>
  <c r="I271" i="2" s="1"/>
  <c r="H282" i="2"/>
  <c r="I282" i="2" s="1"/>
  <c r="H293" i="2"/>
  <c r="I293" i="2" s="1"/>
  <c r="H303" i="2"/>
  <c r="I303" i="2" s="1"/>
  <c r="H314" i="2"/>
  <c r="I314" i="2" s="1"/>
  <c r="H325" i="2"/>
  <c r="I325" i="2" s="1"/>
  <c r="H335" i="2"/>
  <c r="I335" i="2" s="1"/>
  <c r="H345" i="2"/>
  <c r="I345" i="2" s="1"/>
  <c r="H353" i="2"/>
  <c r="I353" i="2" s="1"/>
  <c r="H361" i="2"/>
  <c r="I361" i="2" s="1"/>
  <c r="H369" i="2"/>
  <c r="I369" i="2" s="1"/>
  <c r="H377" i="2"/>
  <c r="I377" i="2" s="1"/>
  <c r="H385" i="2"/>
  <c r="I385" i="2" s="1"/>
  <c r="H393" i="2"/>
  <c r="I393" i="2" s="1"/>
  <c r="H401" i="2"/>
  <c r="I401" i="2" s="1"/>
  <c r="H409" i="2"/>
  <c r="I409" i="2" s="1"/>
  <c r="H417" i="2"/>
  <c r="I417" i="2" s="1"/>
  <c r="H425" i="2"/>
  <c r="I425" i="2" s="1"/>
  <c r="H184" i="2"/>
  <c r="I184" i="2" s="1"/>
  <c r="H201" i="2"/>
  <c r="I201" i="2" s="1"/>
  <c r="I46" i="2"/>
  <c r="H151" i="2"/>
  <c r="I151" i="2" s="1"/>
  <c r="H255" i="2"/>
  <c r="I255" i="2" s="1"/>
  <c r="H341" i="2"/>
  <c r="I341" i="2" s="1"/>
  <c r="H405" i="2"/>
  <c r="I405" i="2" s="1"/>
  <c r="H185" i="2"/>
  <c r="I185" i="2" s="1"/>
  <c r="H234" i="2"/>
  <c r="I234" i="2" s="1"/>
  <c r="H319" i="2"/>
  <c r="I319" i="2" s="1"/>
  <c r="H389" i="2"/>
  <c r="I389" i="2" s="1"/>
  <c r="H429" i="2"/>
  <c r="I429" i="2" s="1"/>
  <c r="H445" i="2"/>
  <c r="I445" i="2" s="1"/>
  <c r="H461" i="2"/>
  <c r="I461" i="2" s="1"/>
  <c r="H477" i="2"/>
  <c r="I477" i="2" s="1"/>
  <c r="H493" i="2"/>
  <c r="I493" i="2" s="1"/>
  <c r="H410" i="2"/>
  <c r="I410" i="2" s="1"/>
  <c r="H438" i="2"/>
  <c r="I438" i="2" s="1"/>
  <c r="H466" i="2"/>
  <c r="I466" i="2" s="1"/>
  <c r="H490" i="2"/>
  <c r="I490" i="2" s="1"/>
  <c r="H226" i="2"/>
  <c r="I226" i="2" s="1"/>
  <c r="H306" i="2"/>
  <c r="I306" i="2" s="1"/>
  <c r="I43" i="2"/>
  <c r="H146" i="2"/>
  <c r="I146" i="2" s="1"/>
  <c r="H178" i="2"/>
  <c r="I178" i="2" s="1"/>
  <c r="H209" i="2"/>
  <c r="I209" i="2" s="1"/>
  <c r="H230" i="2"/>
  <c r="I230" i="2" s="1"/>
  <c r="H251" i="2"/>
  <c r="I251" i="2" s="1"/>
  <c r="H273" i="2"/>
  <c r="I273" i="2" s="1"/>
  <c r="H294" i="2"/>
  <c r="I294" i="2" s="1"/>
  <c r="H315" i="2"/>
  <c r="I315" i="2" s="1"/>
  <c r="H337" i="2"/>
  <c r="I337" i="2" s="1"/>
  <c r="H354" i="2"/>
  <c r="I354" i="2" s="1"/>
  <c r="H370" i="2"/>
  <c r="I370" i="2" s="1"/>
  <c r="H386" i="2"/>
  <c r="I386" i="2" s="1"/>
  <c r="H414" i="2"/>
  <c r="I414" i="2" s="1"/>
  <c r="H450" i="2"/>
  <c r="I450" i="2" s="1"/>
  <c r="H494" i="2"/>
  <c r="I494" i="2" s="1"/>
  <c r="H195" i="2"/>
  <c r="I195" i="2" s="1"/>
  <c r="H253" i="2"/>
  <c r="I253" i="2" s="1"/>
  <c r="H317" i="2"/>
  <c r="I317" i="2" s="1"/>
  <c r="H171" i="2"/>
  <c r="I171" i="2" s="1"/>
  <c r="H258" i="2"/>
  <c r="I258" i="2" s="1"/>
  <c r="H311" i="2"/>
  <c r="I311" i="2" s="1"/>
  <c r="H312" i="2"/>
  <c r="I312" i="2" s="1"/>
  <c r="I57" i="2"/>
  <c r="H169" i="2"/>
  <c r="I169" i="2" s="1"/>
  <c r="H213" i="2"/>
  <c r="I213" i="2" s="1"/>
  <c r="H298" i="2"/>
  <c r="I298" i="2" s="1"/>
  <c r="H373" i="2"/>
  <c r="I373" i="2" s="1"/>
  <c r="H433" i="2"/>
  <c r="I433" i="2" s="1"/>
  <c r="H441" i="2"/>
  <c r="I441" i="2" s="1"/>
  <c r="H449" i="2"/>
  <c r="I449" i="2" s="1"/>
  <c r="H457" i="2"/>
  <c r="I457" i="2" s="1"/>
  <c r="H465" i="2"/>
  <c r="I465" i="2" s="1"/>
  <c r="H473" i="2"/>
  <c r="I473" i="2" s="1"/>
  <c r="H481" i="2"/>
  <c r="I481" i="2" s="1"/>
  <c r="H489" i="2"/>
  <c r="I489" i="2" s="1"/>
  <c r="H497" i="2"/>
  <c r="I497" i="2" s="1"/>
  <c r="H406" i="2"/>
  <c r="I406" i="2" s="1"/>
  <c r="H418" i="2"/>
  <c r="I418" i="2" s="1"/>
  <c r="H434" i="2"/>
  <c r="I434" i="2" s="1"/>
  <c r="H446" i="2"/>
  <c r="I446" i="2" s="1"/>
  <c r="H458" i="2"/>
  <c r="I458" i="2" s="1"/>
  <c r="H474" i="2"/>
  <c r="I474" i="2" s="1"/>
  <c r="H486" i="2"/>
  <c r="I486" i="2" s="1"/>
  <c r="H498" i="2"/>
  <c r="I498" i="2" s="1"/>
  <c r="H210" i="2"/>
  <c r="I210" i="2" s="1"/>
  <c r="H247" i="2"/>
  <c r="I247" i="2" s="1"/>
  <c r="H290" i="2"/>
  <c r="I290" i="2" s="1"/>
  <c r="H327" i="2"/>
  <c r="I327" i="2" s="1"/>
  <c r="H355" i="2"/>
  <c r="I355" i="2" s="1"/>
  <c r="H138" i="2"/>
  <c r="I138" i="2" s="1"/>
  <c r="H154" i="2"/>
  <c r="I154" i="2" s="1"/>
  <c r="H170" i="2"/>
  <c r="I170" i="2" s="1"/>
  <c r="H186" i="2"/>
  <c r="I186" i="2" s="1"/>
  <c r="H202" i="2"/>
  <c r="I202" i="2" s="1"/>
  <c r="H214" i="2"/>
  <c r="I214" i="2" s="1"/>
  <c r="H225" i="2"/>
  <c r="I225" i="2" s="1"/>
  <c r="H235" i="2"/>
  <c r="I235" i="2" s="1"/>
  <c r="H246" i="2"/>
  <c r="I246" i="2" s="1"/>
  <c r="H257" i="2"/>
  <c r="I257" i="2" s="1"/>
  <c r="H267" i="2"/>
  <c r="I267" i="2" s="1"/>
  <c r="H278" i="2"/>
  <c r="I278" i="2" s="1"/>
  <c r="H289" i="2"/>
  <c r="I289" i="2" s="1"/>
  <c r="H299" i="2"/>
  <c r="I299" i="2" s="1"/>
  <c r="H310" i="2"/>
  <c r="I310" i="2" s="1"/>
  <c r="H248" i="2"/>
  <c r="I248" i="2" s="1"/>
  <c r="I55" i="2"/>
  <c r="H421" i="2"/>
  <c r="I421" i="2" s="1"/>
  <c r="H469" i="2"/>
  <c r="I469" i="2" s="1"/>
  <c r="H454" i="2"/>
  <c r="I454" i="2" s="1"/>
  <c r="H343" i="2"/>
  <c r="I343" i="2" s="1"/>
  <c r="H194" i="2"/>
  <c r="I194" i="2" s="1"/>
  <c r="H283" i="2"/>
  <c r="I283" i="2" s="1"/>
  <c r="H326" i="2"/>
  <c r="I326" i="2" s="1"/>
  <c r="H342" i="2"/>
  <c r="I342" i="2" s="1"/>
  <c r="H362" i="2"/>
  <c r="I362" i="2" s="1"/>
  <c r="H374" i="2"/>
  <c r="I374" i="2" s="1"/>
  <c r="H398" i="2"/>
  <c r="I398" i="2" s="1"/>
  <c r="H422" i="2"/>
  <c r="I422" i="2" s="1"/>
  <c r="H470" i="2"/>
  <c r="I470" i="2" s="1"/>
  <c r="H155" i="2"/>
  <c r="I155" i="2" s="1"/>
  <c r="H221" i="2"/>
  <c r="I221" i="2" s="1"/>
  <c r="H274" i="2"/>
  <c r="I274" i="2" s="1"/>
  <c r="H347" i="2"/>
  <c r="I347" i="2" s="1"/>
  <c r="H139" i="2"/>
  <c r="I139" i="2" s="1"/>
  <c r="H215" i="2"/>
  <c r="I215" i="2" s="1"/>
  <c r="H285" i="2"/>
  <c r="I285" i="2" s="1"/>
  <c r="H322" i="2"/>
  <c r="I322" i="2" s="1"/>
  <c r="H134" i="2"/>
  <c r="I134" i="2" s="1"/>
  <c r="H222" i="2"/>
  <c r="I222" i="2" s="1"/>
  <c r="H286" i="2"/>
  <c r="I286" i="2" s="1"/>
  <c r="H443" i="2"/>
  <c r="I443" i="2" s="1"/>
  <c r="H254" i="2"/>
  <c r="I254" i="2" s="1"/>
  <c r="H444" i="2"/>
  <c r="I444" i="2" s="1"/>
  <c r="H391" i="2"/>
  <c r="I391" i="2" s="1"/>
  <c r="H338" i="2"/>
  <c r="I338" i="2" s="1"/>
  <c r="H376" i="2"/>
  <c r="I376" i="2" s="1"/>
  <c r="H408" i="2"/>
  <c r="I408" i="2" s="1"/>
  <c r="H440" i="2"/>
  <c r="I440" i="2" s="1"/>
  <c r="H456" i="2"/>
  <c r="I456" i="2" s="1"/>
  <c r="H488" i="2"/>
  <c r="I488" i="2" s="1"/>
  <c r="H395" i="2"/>
  <c r="I395" i="2" s="1"/>
  <c r="H475" i="2"/>
  <c r="I475" i="2" s="1"/>
  <c r="I51" i="2"/>
  <c r="H275" i="2"/>
  <c r="I275" i="2" s="1"/>
  <c r="H388" i="2"/>
  <c r="I388" i="2" s="1"/>
  <c r="H357" i="2"/>
  <c r="I357" i="2" s="1"/>
  <c r="H453" i="2"/>
  <c r="I453" i="2" s="1"/>
  <c r="H426" i="2"/>
  <c r="I426" i="2" s="1"/>
  <c r="H263" i="2"/>
  <c r="I263" i="2" s="1"/>
  <c r="H162" i="2"/>
  <c r="I162" i="2" s="1"/>
  <c r="H262" i="2"/>
  <c r="I262" i="2" s="1"/>
  <c r="H321" i="2"/>
  <c r="I321" i="2" s="1"/>
  <c r="H331" i="2"/>
  <c r="I331" i="2" s="1"/>
  <c r="H358" i="2"/>
  <c r="I358" i="2" s="1"/>
  <c r="H366" i="2"/>
  <c r="I366" i="2" s="1"/>
  <c r="H390" i="2"/>
  <c r="I390" i="2" s="1"/>
  <c r="H402" i="2"/>
  <c r="I402" i="2" s="1"/>
  <c r="H462" i="2"/>
  <c r="I462" i="2" s="1"/>
  <c r="H482" i="2"/>
  <c r="I482" i="2" s="1"/>
  <c r="H203" i="2"/>
  <c r="I203" i="2" s="1"/>
  <c r="H237" i="2"/>
  <c r="I237" i="2" s="1"/>
  <c r="H333" i="2"/>
  <c r="I333" i="2" s="1"/>
  <c r="H131" i="2"/>
  <c r="I131" i="2" s="1"/>
  <c r="H147" i="2"/>
  <c r="I147" i="2" s="1"/>
  <c r="H269" i="2"/>
  <c r="I269" i="2" s="1"/>
  <c r="H295" i="2"/>
  <c r="I295" i="2" s="1"/>
  <c r="H166" i="2"/>
  <c r="I166" i="2" s="1"/>
  <c r="H307" i="2"/>
  <c r="I307" i="2" s="1"/>
  <c r="H329" i="2"/>
  <c r="I329" i="2" s="1"/>
  <c r="H368" i="2"/>
  <c r="I368" i="2" s="1"/>
  <c r="H400" i="2"/>
  <c r="I400" i="2" s="1"/>
  <c r="H432" i="2"/>
  <c r="I432" i="2" s="1"/>
  <c r="H464" i="2"/>
  <c r="I464" i="2" s="1"/>
  <c r="H496" i="2"/>
  <c r="I496" i="2" s="1"/>
  <c r="H379" i="2"/>
  <c r="I379" i="2" s="1"/>
  <c r="H459" i="2"/>
  <c r="I459" i="2" s="1"/>
  <c r="H318" i="2"/>
  <c r="I318" i="2" s="1"/>
  <c r="H404" i="2"/>
  <c r="I404" i="2" s="1"/>
  <c r="H468" i="2"/>
  <c r="I468" i="2" s="1"/>
  <c r="H158" i="2"/>
  <c r="I158" i="2" s="1"/>
  <c r="H359" i="2"/>
  <c r="I359" i="2" s="1"/>
  <c r="H415" i="2"/>
  <c r="I415" i="2" s="1"/>
  <c r="H479" i="2"/>
  <c r="I479" i="2" s="1"/>
  <c r="H174" i="2"/>
  <c r="I174" i="2" s="1"/>
  <c r="H291" i="2"/>
  <c r="I291" i="2" s="1"/>
  <c r="H387" i="2"/>
  <c r="I387" i="2" s="1"/>
  <c r="H499" i="2"/>
  <c r="I499" i="2" s="1"/>
  <c r="H380" i="2"/>
  <c r="I380" i="2" s="1"/>
  <c r="H281" i="2"/>
  <c r="I281" i="2" s="1"/>
  <c r="H447" i="2"/>
  <c r="I447" i="2" s="1"/>
  <c r="H360" i="2"/>
  <c r="I360" i="2" s="1"/>
  <c r="H392" i="2"/>
  <c r="I392" i="2" s="1"/>
  <c r="H472" i="2"/>
  <c r="I472" i="2" s="1"/>
  <c r="H270" i="2"/>
  <c r="I270" i="2" s="1"/>
  <c r="H363" i="2"/>
  <c r="I363" i="2" s="1"/>
  <c r="H435" i="2"/>
  <c r="I435" i="2" s="1"/>
  <c r="H182" i="2"/>
  <c r="I182" i="2" s="1"/>
  <c r="H356" i="2"/>
  <c r="I356" i="2" s="1"/>
  <c r="H420" i="2"/>
  <c r="I420" i="2" s="1"/>
  <c r="H277" i="2"/>
  <c r="I277" i="2" s="1"/>
  <c r="H437" i="2"/>
  <c r="I437" i="2" s="1"/>
  <c r="H394" i="2"/>
  <c r="I394" i="2" s="1"/>
  <c r="H163" i="2"/>
  <c r="I163" i="2" s="1"/>
  <c r="H130" i="2"/>
  <c r="I130" i="2" s="1"/>
  <c r="H241" i="2"/>
  <c r="I241" i="2" s="1"/>
  <c r="H346" i="2"/>
  <c r="I346" i="2" s="1"/>
  <c r="H378" i="2"/>
  <c r="I378" i="2" s="1"/>
  <c r="H430" i="2"/>
  <c r="I430" i="2" s="1"/>
  <c r="H179" i="2"/>
  <c r="I179" i="2" s="1"/>
  <c r="H279" i="2"/>
  <c r="I279" i="2" s="1"/>
  <c r="H231" i="2"/>
  <c r="I231" i="2" s="1"/>
  <c r="H243" i="2"/>
  <c r="I243" i="2" s="1"/>
  <c r="H265" i="2"/>
  <c r="I265" i="2" s="1"/>
  <c r="H424" i="2"/>
  <c r="I424" i="2" s="1"/>
  <c r="H183" i="2"/>
  <c r="I183" i="2" s="1"/>
  <c r="H485" i="2"/>
  <c r="I485" i="2" s="1"/>
  <c r="H478" i="2"/>
  <c r="I478" i="2" s="1"/>
  <c r="H219" i="2"/>
  <c r="I219" i="2" s="1"/>
  <c r="H305" i="2"/>
  <c r="I305" i="2" s="1"/>
  <c r="H350" i="2"/>
  <c r="I350" i="2" s="1"/>
  <c r="H382" i="2"/>
  <c r="I382" i="2" s="1"/>
  <c r="H442" i="2"/>
  <c r="I442" i="2" s="1"/>
  <c r="H187" i="2"/>
  <c r="I187" i="2" s="1"/>
  <c r="H301" i="2"/>
  <c r="I301" i="2" s="1"/>
  <c r="I47" i="2"/>
  <c r="H242" i="2"/>
  <c r="I242" i="2" s="1"/>
  <c r="H351" i="2"/>
  <c r="I351" i="2" s="1"/>
  <c r="H198" i="2"/>
  <c r="I198" i="2" s="1"/>
  <c r="H384" i="2"/>
  <c r="I384" i="2" s="1"/>
  <c r="H334" i="2"/>
  <c r="I334" i="2" s="1"/>
  <c r="H372" i="2"/>
  <c r="I372" i="2" s="1"/>
  <c r="H436" i="2"/>
  <c r="I436" i="2" s="1"/>
  <c r="H484" i="2"/>
  <c r="I484" i="2" s="1"/>
  <c r="H259" i="2"/>
  <c r="I259" i="2" s="1"/>
  <c r="H375" i="2"/>
  <c r="I375" i="2" s="1"/>
  <c r="H455" i="2"/>
  <c r="I455" i="2" s="1"/>
  <c r="H495" i="2"/>
  <c r="I495" i="2" s="1"/>
  <c r="H206" i="2"/>
  <c r="I206" i="2" s="1"/>
  <c r="H352" i="2"/>
  <c r="I352" i="2" s="1"/>
  <c r="H403" i="2"/>
  <c r="I403" i="2" s="1"/>
  <c r="H467" i="2"/>
  <c r="I467" i="2" s="1"/>
  <c r="H339" i="2"/>
  <c r="I339" i="2" s="1"/>
  <c r="H396" i="2"/>
  <c r="I396" i="2" s="1"/>
  <c r="H476" i="2"/>
  <c r="I476" i="2" s="1"/>
  <c r="H126" i="2"/>
  <c r="I126" i="2" s="1"/>
  <c r="H344" i="2"/>
  <c r="I344" i="2" s="1"/>
  <c r="H407" i="2"/>
  <c r="I407" i="2" s="1"/>
  <c r="H487" i="2"/>
  <c r="I487" i="2" s="1"/>
  <c r="H348" i="2"/>
  <c r="I348" i="2" s="1"/>
  <c r="H480" i="2"/>
  <c r="I480" i="2" s="1"/>
  <c r="H233" i="2"/>
  <c r="I233" i="2" s="1"/>
  <c r="H452" i="2"/>
  <c r="I452" i="2" s="1"/>
  <c r="H217" i="2"/>
  <c r="I217" i="2" s="1"/>
  <c r="H302" i="2"/>
  <c r="I302" i="2" s="1"/>
  <c r="H431" i="2"/>
  <c r="I431" i="2" s="1"/>
  <c r="H463" i="2"/>
  <c r="I463" i="2" s="1"/>
  <c r="H142" i="2"/>
  <c r="I142" i="2" s="1"/>
  <c r="H313" i="2"/>
  <c r="I313" i="2" s="1"/>
  <c r="H371" i="2"/>
  <c r="I371" i="2" s="1"/>
  <c r="H451" i="2"/>
  <c r="I451" i="2" s="1"/>
  <c r="H491" i="2"/>
  <c r="I491" i="2" s="1"/>
  <c r="H297" i="2"/>
  <c r="I297" i="2" s="1"/>
  <c r="H460" i="2"/>
  <c r="I460" i="2" s="1"/>
  <c r="H492" i="2"/>
  <c r="I492" i="2" s="1"/>
  <c r="H323" i="2"/>
  <c r="I323" i="2" s="1"/>
  <c r="H367" i="2"/>
  <c r="I367" i="2" s="1"/>
  <c r="H471" i="2"/>
  <c r="I471" i="2" s="1"/>
  <c r="I34" i="2"/>
  <c r="H448" i="2"/>
  <c r="I448" i="2" s="1"/>
  <c r="H483" i="2"/>
  <c r="I483" i="2" s="1"/>
  <c r="H500" i="2"/>
  <c r="I500" i="2" s="1"/>
  <c r="H383" i="2"/>
  <c r="I383" i="2" s="1"/>
  <c r="H227" i="2"/>
  <c r="I227" i="2" s="1"/>
  <c r="H411" i="2"/>
  <c r="I411" i="2" s="1"/>
  <c r="H150" i="2"/>
  <c r="I150" i="2" s="1"/>
  <c r="H190" i="2"/>
  <c r="I190" i="2" s="1"/>
  <c r="H423" i="2"/>
  <c r="I423" i="2" s="1"/>
  <c r="H416" i="2"/>
  <c r="I416" i="2" s="1"/>
  <c r="H419" i="2"/>
  <c r="I419" i="2" s="1"/>
  <c r="H399" i="2"/>
  <c r="I399" i="2" s="1"/>
  <c r="H427" i="2"/>
  <c r="I427" i="2" s="1"/>
  <c r="H428" i="2"/>
  <c r="I428" i="2" s="1"/>
  <c r="H364" i="2"/>
  <c r="I364" i="2" s="1"/>
  <c r="H412" i="2"/>
  <c r="I412" i="2" s="1"/>
  <c r="I42" i="2"/>
  <c r="H249" i="2"/>
  <c r="I249" i="2" s="1"/>
  <c r="H238" i="2"/>
  <c r="I238" i="2" s="1"/>
  <c r="H211" i="2"/>
  <c r="I211" i="2" s="1"/>
  <c r="H439" i="2"/>
  <c r="I439" i="2" s="1"/>
  <c r="O6" i="2" l="1"/>
  <c r="O7" i="2" s="1"/>
  <c r="I4" i="2"/>
  <c r="O9" i="2" l="1"/>
</calcChain>
</file>

<file path=xl/connections.xml><?xml version="1.0" encoding="utf-8"?>
<connections xmlns="http://schemas.openxmlformats.org/spreadsheetml/2006/main">
  <connection id="1" name="Connection" type="4" refreshedVersion="4" background="1" saveData="1">
    <webPr sourceData="1" parsePre="1" consecutive="1" xl2000="1" url="https://coinmarketcap.com"/>
  </connection>
</connections>
</file>

<file path=xl/sharedStrings.xml><?xml version="1.0" encoding="utf-8"?>
<sst xmlns="http://schemas.openxmlformats.org/spreadsheetml/2006/main" count="884" uniqueCount="314">
  <si>
    <t>Next 100 →</t>
  </si>
  <si>
    <t>View All</t>
  </si>
  <si>
    <t>#</t>
  </si>
  <si>
    <t>Name</t>
  </si>
  <si>
    <t>Market Cap</t>
  </si>
  <si>
    <t>Price</t>
  </si>
  <si>
    <t>Volume (24h)</t>
  </si>
  <si>
    <t>Circulating Supply</t>
  </si>
  <si>
    <t>Change (24h)</t>
  </si>
  <si>
    <t>Price Graph (7d)</t>
  </si>
  <si>
    <t>BTC Bitcoin</t>
  </si>
  <si>
    <t>sparkline</t>
  </si>
  <si>
    <t>ETH Ethereum</t>
  </si>
  <si>
    <t>2,779,530,283 MIOTA *</t>
  </si>
  <si>
    <t>65,000,000 NEO *</t>
  </si>
  <si>
    <t>8,999,999,999 XEM *</t>
  </si>
  <si>
    <t>25,927,070,538 ADA *</t>
  </si>
  <si>
    <t>102,042,552 OMG *</t>
  </si>
  <si>
    <t>100,000,000 WAVES *</t>
  </si>
  <si>
    <t>998,999,495 ARDR *</t>
  </si>
  <si>
    <t>11,000,000 REP *</t>
  </si>
  <si>
    <t>452,552,412 MAID *</t>
  </si>
  <si>
    <t>2,000,000 DGD *</t>
  </si>
  <si>
    <t>8,745,102 FCT *</t>
  </si>
  <si>
    <t>998,999,942 NXT *</t>
  </si>
  <si>
    <t>1,000,000,000 BAT *</t>
  </si>
  <si>
    <t>99,014,000 BNB *</t>
  </si>
  <si>
    <t>645,222 GBYTE *</t>
  </si>
  <si>
    <t>134,132,697 KNC *</t>
  </si>
  <si>
    <t>65,748,192,475 TRX *</t>
  </si>
  <si>
    <t>3,470,483,788 SNT *</t>
  </si>
  <si>
    <t>233,020,472 AE *</t>
  </si>
  <si>
    <t>987,000,000 BTM *</t>
  </si>
  <si>
    <t>* Not Mineable</t>
  </si>
  <si>
    <t>twittertwitter</t>
  </si>
  <si>
    <t>Donate LTC: LTdsVS8VDw6syvfQADdhf2PHAm3rMGJvPX</t>
  </si>
  <si>
    <t>Donate ETH: 0x0074709077B8AE5a245E4ED161C971Dc4c3C8E2B</t>
  </si>
  <si>
    <t>×</t>
  </si>
  <si>
    <t>Donate Bitcoin</t>
  </si>
  <si>
    <t>Donate Litecoin</t>
  </si>
  <si>
    <t>LTdsVS8VDw6syvfQADdhf2PHAm3rMGJvPX</t>
  </si>
  <si>
    <t>Donate Ethereum</t>
  </si>
  <si>
    <t>0x0074709077B8AE5a245E4ED161C971Dc4c3C8E2B</t>
  </si>
  <si>
    <t>date</t>
  </si>
  <si>
    <t>coin</t>
  </si>
  <si>
    <t>coin value</t>
  </si>
  <si>
    <t>amount</t>
  </si>
  <si>
    <t>debit</t>
  </si>
  <si>
    <t>growth</t>
  </si>
  <si>
    <t>current val</t>
  </si>
  <si>
    <t>portfolio growth</t>
  </si>
  <si>
    <t>Current Cost</t>
  </si>
  <si>
    <t>Current value</t>
  </si>
  <si>
    <t>Cost basis</t>
  </si>
  <si>
    <t>value difference</t>
  </si>
  <si>
    <t>350,000,000 QASH *</t>
  </si>
  <si>
    <t>Night Mode:</t>
  </si>
  <si>
    <t>Off On</t>
  </si>
  <si>
    <t>2,036,645 VERI *</t>
  </si>
  <si>
    <t>238,421,940 DRGN *</t>
  </si>
  <si>
    <t>834,262,000 GNT *</t>
  </si>
  <si>
    <t>37,004,027 PPT *</t>
  </si>
  <si>
    <t>91,043,076 KCS *</t>
  </si>
  <si>
    <t>250,000,000 ELF *</t>
  </si>
  <si>
    <t>756,097,560,976 KIN *</t>
  </si>
  <si>
    <t>74,836,171 ENG *</t>
  </si>
  <si>
    <t>Donate BTC: 3CMCRgEm8HVz3DrWaCCid3vAANE42jcEv9</t>
  </si>
  <si>
    <t>3CMCRgEm8HVz3DrWaCCid3vAANE42jcEv9</t>
  </si>
  <si>
    <t>10,614,760,961 DENT *</t>
  </si>
  <si>
    <t>618,228 MKR *</t>
  </si>
  <si>
    <t>24,898,178 WTC *</t>
  </si>
  <si>
    <t>60,000,000 GXS *</t>
  </si>
  <si>
    <t>35,500,000 NAS *</t>
  </si>
  <si>
    <t>1,445,976,590 CND *</t>
  </si>
  <si>
    <t>104,661,310 PAY *</t>
  </si>
  <si>
    <t>6,794,109,922 IOST *</t>
  </si>
  <si>
    <t>© 2018 CoinMarketCap | Advertise | API | Disclaimer | FAQ | Request Form</t>
  </si>
  <si>
    <t>227,384,800 PLR *</t>
  </si>
  <si>
    <t>325,226,613,094 DCN *</t>
  </si>
  <si>
    <t>184,450,000 R *</t>
  </si>
  <si>
    <t>2,217,140,814 USDT *</t>
  </si>
  <si>
    <t>4,503,688,789 FUN *</t>
  </si>
  <si>
    <t>BitcoinBTC Bitcoin</t>
  </si>
  <si>
    <t>EthereumETH Ethereum</t>
  </si>
  <si>
    <t>RippleXRP Ripple</t>
  </si>
  <si>
    <t>Bitcoin CashBCH Bitcoin Cash</t>
  </si>
  <si>
    <t>LitecoinLTC Litecoin</t>
  </si>
  <si>
    <t>CardanoADA Cardano</t>
  </si>
  <si>
    <t>StellarXLM Stellar</t>
  </si>
  <si>
    <t>NEONEO NEO</t>
  </si>
  <si>
    <t>EOSEOS EOS</t>
  </si>
  <si>
    <t>IOTAMIOTA IOTA</t>
  </si>
  <si>
    <t>DashDASH Dash</t>
  </si>
  <si>
    <t>NEMXEM NEM</t>
  </si>
  <si>
    <t>MoneroXMR Monero</t>
  </si>
  <si>
    <t>Ethereum ClassicETC Ethereum Classic</t>
  </si>
  <si>
    <t>LiskLSK Lisk</t>
  </si>
  <si>
    <t>TRONTRX TRON</t>
  </si>
  <si>
    <t>QtumQTUM Qtum</t>
  </si>
  <si>
    <t>VeChainVEN VeChain</t>
  </si>
  <si>
    <t>TetherUSDT Tether</t>
  </si>
  <si>
    <t>Bitcoin GoldBTG Bitcoin Gold</t>
  </si>
  <si>
    <t>ICONICX ICON</t>
  </si>
  <si>
    <t>OmiseGOOMG OmiseGO</t>
  </si>
  <si>
    <t>ZcashZEC Zcash</t>
  </si>
  <si>
    <t>SteemSTEEM Steem</t>
  </si>
  <si>
    <t>Binance CoinBNB Binance Coin</t>
  </si>
  <si>
    <t>BytecoinBCN Bytecoin</t>
  </si>
  <si>
    <t>PopulousPPT Populous</t>
  </si>
  <si>
    <t>StratisSTRAT Stratis</t>
  </si>
  <si>
    <t>VergeXVG Verge</t>
  </si>
  <si>
    <t>SiacoinSC Siacoin</t>
  </si>
  <si>
    <t>RChainRHOC RChain</t>
  </si>
  <si>
    <t>StatusSNT Status</t>
  </si>
  <si>
    <t>DogecoinDOGE Dogecoin</t>
  </si>
  <si>
    <t>BitSharesBTS BitShares</t>
  </si>
  <si>
    <t>MakerMKR Maker</t>
  </si>
  <si>
    <t>WavesWAVES Waves</t>
  </si>
  <si>
    <t>VeritaseumVERI Veritaseum</t>
  </si>
  <si>
    <t>AeternityAE Aeternity</t>
  </si>
  <si>
    <t>WaltonchainWTC Waltonchain</t>
  </si>
  <si>
    <t>HshareHSR Hshare</t>
  </si>
  <si>
    <t>AugurREP Augur</t>
  </si>
  <si>
    <t>ZClassicZCL ZClassic</t>
  </si>
  <si>
    <t>DecredDCR Decred</t>
  </si>
  <si>
    <t>0xZRX 0x</t>
  </si>
  <si>
    <t>ArdorARDR Ardor</t>
  </si>
  <si>
    <t>KuCoin SharesKCS KuCoin Shares</t>
  </si>
  <si>
    <t>DigixDAODGD DigixDAO</t>
  </si>
  <si>
    <t>Byteball BytesGBYTE Byteball Bytes</t>
  </si>
  <si>
    <t>KomodoKMD Komodo</t>
  </si>
  <si>
    <t>DragonchainDRGN Dragonchain</t>
  </si>
  <si>
    <t>RevainR Revain</t>
  </si>
  <si>
    <t>ElectroneumETN Electroneum</t>
  </si>
  <si>
    <t>ArkARK Ark</t>
  </si>
  <si>
    <t>DigiByteDGB DigiByte</t>
  </si>
  <si>
    <t>GasGAS Gas</t>
  </si>
  <si>
    <t>Basic Attention TokenBAT Basic Attenti...</t>
  </si>
  <si>
    <t>BytomBTM Bytom</t>
  </si>
  <si>
    <t>LoopringLRC Loopring</t>
  </si>
  <si>
    <t>Kyber NetworkKNC Kyber Network</t>
  </si>
  <si>
    <t>ZilliqaZIL Zilliqa</t>
  </si>
  <si>
    <t>6,511,228,178 ZIL *</t>
  </si>
  <si>
    <t>DentacoinDCN Dentacoin</t>
  </si>
  <si>
    <t>GolemGNT Golem</t>
  </si>
  <si>
    <t>PIVXPIVX PIVX</t>
  </si>
  <si>
    <t>SyscoinSYS Syscoin</t>
  </si>
  <si>
    <t>aelfELF aelf</t>
  </si>
  <si>
    <t>QASHQASH QASH</t>
  </si>
  <si>
    <t>NebulasNAS Nebulas</t>
  </si>
  <si>
    <t>BitcoreBTX Bitcore</t>
  </si>
  <si>
    <t>PillarPLR Pillar</t>
  </si>
  <si>
    <t>EthosETHOS Ethos</t>
  </si>
  <si>
    <t>CryptonexCNX Cryptonex</t>
  </si>
  <si>
    <t>GXSharesGXS GXShares</t>
  </si>
  <si>
    <t>Power LedgerPOWR Power Ledger</t>
  </si>
  <si>
    <t>FactomFCT Factom</t>
  </si>
  <si>
    <t>IOStokenIOST IOStoken</t>
  </si>
  <si>
    <t>DentDENT Dent</t>
  </si>
  <si>
    <t>MonaCoinMONA MonaCoin</t>
  </si>
  <si>
    <t>AionAION Aion</t>
  </si>
  <si>
    <t>CindicatorCND Cindicator</t>
  </si>
  <si>
    <t>FunFairFUN FunFair</t>
  </si>
  <si>
    <t>PolymathPOLY Polymath</t>
  </si>
  <si>
    <t>239,570,250 POLY *</t>
  </si>
  <si>
    <t>ZCoinXZC ZCoin</t>
  </si>
  <si>
    <t>KinKIN Kin</t>
  </si>
  <si>
    <t>EnigmaENG Enigma</t>
  </si>
  <si>
    <t>SALTSALT SALT</t>
  </si>
  <si>
    <t>MaidSafeCoinMAID MaidSafeCoin</t>
  </si>
  <si>
    <t>ReddCoinRDD ReddCoin</t>
  </si>
  <si>
    <t>NxtNXT Nxt</t>
  </si>
  <si>
    <t>BancorBNT Bancor</t>
  </si>
  <si>
    <t>TenXPAY TenX</t>
  </si>
  <si>
    <t>ParticlPART Particl</t>
  </si>
  <si>
    <t>Request NetworkREQ Request Network</t>
  </si>
  <si>
    <t>641,462,769 REQ *</t>
  </si>
  <si>
    <t>ChainLinkLINK ChainLink</t>
  </si>
  <si>
    <t>350,000,000 LINK *</t>
  </si>
  <si>
    <t>NeblioNEBL Neblio</t>
  </si>
  <si>
    <t>SingularityNETAGI SingularityNET</t>
  </si>
  <si>
    <t>Donate BCH: 1LVXG4Z4oF6TrJfmUfSuLX8nqb8c5eCwha</t>
  </si>
  <si>
    <t>Donate Bitcoin Cash</t>
  </si>
  <si>
    <t>1LVXG4Z4oF6TrJfmUfSuLX8nqb8c5eCwha</t>
  </si>
  <si>
    <t xml:space="preserve">Toggle navigation </t>
  </si>
  <si>
    <t xml:space="preserve">Market Cap </t>
  </si>
  <si>
    <t>All</t>
  </si>
  <si>
    <t>Coins</t>
  </si>
  <si>
    <t>Tokens</t>
  </si>
  <si>
    <t xml:space="preserve">Trade Volume </t>
  </si>
  <si>
    <t>24 Hour Volume Rankings (Currency)</t>
  </si>
  <si>
    <t>24 Hour Volume Rankings (Exchange)</t>
  </si>
  <si>
    <t>Monthly Volume Rankings (Currency)</t>
  </si>
  <si>
    <t xml:space="preserve">Trending </t>
  </si>
  <si>
    <t>Gainers and Losers</t>
  </si>
  <si>
    <t>Recently Added</t>
  </si>
  <si>
    <t xml:space="preserve">Tools </t>
  </si>
  <si>
    <t>Global Charts</t>
  </si>
  <si>
    <t>Historical Snapshots</t>
  </si>
  <si>
    <t>Currency Converter Calculator</t>
  </si>
  <si>
    <t>Website Widgets</t>
  </si>
  <si>
    <t xml:space="preserve">USD </t>
  </si>
  <si>
    <t>USD</t>
  </si>
  <si>
    <t>MXN</t>
  </si>
  <si>
    <t>SEK</t>
  </si>
  <si>
    <t>CAD</t>
  </si>
  <si>
    <t>HKD</t>
  </si>
  <si>
    <t>MYR</t>
  </si>
  <si>
    <t>SGD</t>
  </si>
  <si>
    <t>CHF</t>
  </si>
  <si>
    <t>HUF</t>
  </si>
  <si>
    <t>NOK</t>
  </si>
  <si>
    <t>THB</t>
  </si>
  <si>
    <t>CLP</t>
  </si>
  <si>
    <t>IDR</t>
  </si>
  <si>
    <t>NZD</t>
  </si>
  <si>
    <t>TRY</t>
  </si>
  <si>
    <t>CNY</t>
  </si>
  <si>
    <t>ILS</t>
  </si>
  <si>
    <t>PHP</t>
  </si>
  <si>
    <t>TWD</t>
  </si>
  <si>
    <t>CZK</t>
  </si>
  <si>
    <t>INR</t>
  </si>
  <si>
    <t>PKR</t>
  </si>
  <si>
    <t>ZAR</t>
  </si>
  <si>
    <t>Cryptocurrency Market Capitalizations</t>
  </si>
  <si>
    <t>BTC</t>
  </si>
  <si>
    <t>ETH</t>
  </si>
  <si>
    <t>XRP</t>
  </si>
  <si>
    <t>BCH</t>
  </si>
  <si>
    <t>LTC</t>
  </si>
  <si>
    <t xml:space="preserve">All </t>
  </si>
  <si>
    <t>Top 100</t>
  </si>
  <si>
    <t>Full List</t>
  </si>
  <si>
    <t xml:space="preserve">Coins </t>
  </si>
  <si>
    <t>Market Cap by Circulating Supply</t>
  </si>
  <si>
    <t>Market Cap by Total Supply</t>
  </si>
  <si>
    <t>Filter Non-Mineable</t>
  </si>
  <si>
    <t xml:space="preserve">Tokens </t>
  </si>
  <si>
    <t>39,094,802,192 XRP *</t>
  </si>
  <si>
    <t>475,301,288 VEN *</t>
  </si>
  <si>
    <t>NanoNANO Nano</t>
  </si>
  <si>
    <t>133,248,289 NANO *</t>
  </si>
  <si>
    <t>385,966,364 ICX *</t>
  </si>
  <si>
    <t xml:space="preserve">113,377,497,309 DOGE </t>
  </si>
  <si>
    <t>359,399,272 RHOC *</t>
  </si>
  <si>
    <t>2,609,570,000 BTS *</t>
  </si>
  <si>
    <t>514,467,068 ZRX *</t>
  </si>
  <si>
    <t>561,990,880 LRC *</t>
  </si>
  <si>
    <t>75,807,919 ETHOS *</t>
  </si>
  <si>
    <t>96,154,303 AION *</t>
  </si>
  <si>
    <t>28,769,961,199 RDD *</t>
  </si>
  <si>
    <t>54,195,692 SALT *</t>
  </si>
  <si>
    <t>363,932,644 POWR *</t>
  </si>
  <si>
    <t>8,883,489 PART *</t>
  </si>
  <si>
    <t>VertcoinVTC Vertcoin</t>
  </si>
  <si>
    <t>BlocknetBLOCK Blocknet</t>
  </si>
  <si>
    <t>QuantstampQSP Quantstamp</t>
  </si>
  <si>
    <t>617,314,171 QSP *</t>
  </si>
  <si>
    <t>460,552,782 AGI *</t>
  </si>
  <si>
    <t>39,294,089 BNT *</t>
  </si>
  <si>
    <t>18,468,078,089 XLM *</t>
  </si>
  <si>
    <t xml:space="preserve">57,721,875 MONA </t>
  </si>
  <si>
    <t>EmercoinEMC Emercoin</t>
  </si>
  <si>
    <t xml:space="preserve">41,368,873 EMC </t>
  </si>
  <si>
    <t>to refresh</t>
  </si>
  <si>
    <t>Because it takes so long for the web content to</t>
  </si>
  <si>
    <t>refresh, two macros are required.</t>
  </si>
  <si>
    <t xml:space="preserve">One to refresh the index, and one to reset and </t>
  </si>
  <si>
    <t>refresh the formulas after the web content laoded</t>
  </si>
  <si>
    <t>blank</t>
  </si>
  <si>
    <t>blank2</t>
  </si>
  <si>
    <t xml:space="preserve">16,890,025 BTC </t>
  </si>
  <si>
    <t xml:space="preserve">97,882,020 ETH </t>
  </si>
  <si>
    <t xml:space="preserve">16,990,738 BCH </t>
  </si>
  <si>
    <t xml:space="preserve">55,407,433 LTC </t>
  </si>
  <si>
    <t>696,460,903 EOS *</t>
  </si>
  <si>
    <t xml:space="preserve">7,909,916 DASH </t>
  </si>
  <si>
    <t xml:space="preserve">15,769,469 XMR </t>
  </si>
  <si>
    <t xml:space="preserve">100,164,475 ETC </t>
  </si>
  <si>
    <t>73,912,908 QTUM *</t>
  </si>
  <si>
    <t xml:space="preserve">16,850,411 BTG </t>
  </si>
  <si>
    <t>102,299,443 LSK *</t>
  </si>
  <si>
    <t xml:space="preserve">3,372,431 ZEC </t>
  </si>
  <si>
    <t xml:space="preserve">183,753,119,037 BCN </t>
  </si>
  <si>
    <t>250,682,612 STEEM *</t>
  </si>
  <si>
    <t xml:space="preserve">14,648,114,990 XVG </t>
  </si>
  <si>
    <t>98,757,429 STRAT *</t>
  </si>
  <si>
    <t xml:space="preserve">32,769,748,200 SC </t>
  </si>
  <si>
    <t xml:space="preserve">6,839,150 DCR </t>
  </si>
  <si>
    <t xml:space="preserve">6,281,541,408 ETN </t>
  </si>
  <si>
    <t xml:space="preserve">42,677,070 HSR </t>
  </si>
  <si>
    <t>9,806,486 GAS *</t>
  </si>
  <si>
    <t xml:space="preserve">103,786,708 KMD </t>
  </si>
  <si>
    <t>100,913,200 ARK *</t>
  </si>
  <si>
    <t xml:space="preserve">9,902,986,645 DGB </t>
  </si>
  <si>
    <t xml:space="preserve">45,138,339 CNX </t>
  </si>
  <si>
    <t xml:space="preserve">531,249,292 SYS </t>
  </si>
  <si>
    <t xml:space="preserve">3,408,950 ZCL </t>
  </si>
  <si>
    <t>55,663,427 PIVX *</t>
  </si>
  <si>
    <t xml:space="preserve">11,773,297 BTX </t>
  </si>
  <si>
    <t xml:space="preserve">4,199,271 XZC </t>
  </si>
  <si>
    <t>12,856,367 NEBL *</t>
  </si>
  <si>
    <t>5,033,079 BLOCK *</t>
  </si>
  <si>
    <t xml:space="preserve">43,120,025 VTC </t>
  </si>
  <si>
    <t>known bugs- if the web content changes and pulls</t>
  </si>
  <si>
    <t>has a specific start and end point.</t>
  </si>
  <si>
    <t xml:space="preserve">Total Market Cap: $458,849,398,165 </t>
  </si>
  <si>
    <t>Last updated: Feb 27, 2018 8:54 PM UTC</t>
  </si>
  <si>
    <t xml:space="preserve">significant extra info than when designed and </t>
  </si>
  <si>
    <t>tested, then the value of the coin will not update</t>
  </si>
  <si>
    <t xml:space="preserve">properly since the cut and paste portion of the macro </t>
  </si>
  <si>
    <t>Hypothetical Cryptocurrency Portfolio Tracker</t>
  </si>
  <si>
    <t>0= active investment,  1= inactive and will not be summed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</si>
</sst>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_(&quot;$&quot;* #,##0.00000_);_(&quot;$&quot;* \(#,##0.00000\);_(&quot;$&quot;* &quot;-&quot;??_);_(@_)"/>
    <numFmt numFmtId="171" formatCode="_(&quot;$&quot;* #,##0.0000_);_(&quot;$&quot;* \(#,##0.0000\);_(&quot;$&quot;* &quot;-&quot;??_);_(@_)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2" tint="-0.89999084444715716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66FF99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rgb="FF66FF99"/>
      <name val="Calibri"/>
      <family val="2"/>
      <scheme val="minor"/>
    </font>
    <font>
      <b/>
      <sz val="14"/>
      <color rgb="FFD94C4A"/>
      <name val="Calibri"/>
      <family val="2"/>
      <scheme val="minor"/>
    </font>
    <font>
      <b/>
      <sz val="16"/>
      <color theme="1"/>
      <name val="Segoe Print Bold"/>
    </font>
    <font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94C4A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theme="6"/>
      </right>
      <top style="thin">
        <color theme="6"/>
      </top>
      <bottom/>
      <diagonal/>
    </border>
  </borders>
  <cellStyleXfs count="2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6" fontId="0" fillId="0" borderId="0" xfId="0" applyNumberFormat="1"/>
    <xf numFmtId="8" fontId="0" fillId="0" borderId="0" xfId="0" applyNumberFormat="1"/>
    <xf numFmtId="10" fontId="0" fillId="0" borderId="0" xfId="0" applyNumberFormat="1"/>
    <xf numFmtId="44" fontId="0" fillId="0" borderId="0" xfId="1" applyFont="1"/>
    <xf numFmtId="9" fontId="0" fillId="0" borderId="0" xfId="2" applyFont="1"/>
    <xf numFmtId="0" fontId="0" fillId="2" borderId="0" xfId="0" applyFill="1"/>
    <xf numFmtId="44" fontId="0" fillId="2" borderId="0" xfId="1" applyFont="1" applyFill="1"/>
    <xf numFmtId="0" fontId="0" fillId="3" borderId="0" xfId="0" applyFill="1"/>
    <xf numFmtId="0" fontId="0" fillId="4" borderId="0" xfId="0" applyFill="1"/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0" fillId="5" borderId="1" xfId="0" applyFill="1" applyBorder="1"/>
    <xf numFmtId="0" fontId="0" fillId="5" borderId="2" xfId="0" applyFill="1" applyBorder="1"/>
    <xf numFmtId="0" fontId="0" fillId="5" borderId="10" xfId="0" applyFill="1" applyBorder="1"/>
    <xf numFmtId="44" fontId="3" fillId="5" borderId="8" xfId="0" applyNumberFormat="1" applyFont="1" applyFill="1" applyBorder="1"/>
    <xf numFmtId="0" fontId="0" fillId="5" borderId="3" xfId="0" applyFill="1" applyBorder="1"/>
    <xf numFmtId="44" fontId="6" fillId="5" borderId="12" xfId="1" applyFont="1" applyFill="1" applyBorder="1"/>
    <xf numFmtId="0" fontId="0" fillId="5" borderId="14" xfId="0" applyFill="1" applyBorder="1"/>
    <xf numFmtId="10" fontId="4" fillId="5" borderId="15" xfId="2" applyNumberFormat="1" applyFont="1" applyFill="1" applyBorder="1"/>
    <xf numFmtId="0" fontId="0" fillId="6" borderId="0" xfId="0" applyFill="1"/>
    <xf numFmtId="44" fontId="0" fillId="6" borderId="0" xfId="1" applyFont="1" applyFill="1"/>
    <xf numFmtId="0" fontId="0" fillId="7" borderId="0" xfId="0" applyFill="1"/>
    <xf numFmtId="10" fontId="0" fillId="6" borderId="0" xfId="2" applyNumberFormat="1" applyFont="1" applyFill="1"/>
    <xf numFmtId="0" fontId="8" fillId="8" borderId="0" xfId="0" applyFont="1" applyFill="1"/>
    <xf numFmtId="0" fontId="0" fillId="8" borderId="0" xfId="0" applyFill="1"/>
    <xf numFmtId="44" fontId="0" fillId="8" borderId="0" xfId="1" applyFont="1" applyFill="1"/>
    <xf numFmtId="9" fontId="0" fillId="8" borderId="0" xfId="2" applyFont="1" applyFill="1"/>
    <xf numFmtId="0" fontId="0" fillId="8" borderId="0" xfId="0" applyFill="1" applyAlignment="1">
      <alignment horizontal="center" vertical="center"/>
    </xf>
    <xf numFmtId="0" fontId="5" fillId="8" borderId="0" xfId="0" applyFont="1" applyFill="1"/>
    <xf numFmtId="0" fontId="0" fillId="8" borderId="0" xfId="0" applyFill="1" applyAlignment="1">
      <alignment horizontal="left"/>
    </xf>
    <xf numFmtId="44" fontId="0" fillId="8" borderId="0" xfId="0" applyNumberFormat="1" applyFill="1"/>
    <xf numFmtId="0" fontId="0" fillId="9" borderId="0" xfId="0" applyFill="1"/>
    <xf numFmtId="0" fontId="2" fillId="10" borderId="0" xfId="0" applyFont="1" applyFill="1"/>
    <xf numFmtId="44" fontId="2" fillId="10" borderId="0" xfId="1" applyFont="1" applyFill="1"/>
    <xf numFmtId="9" fontId="2" fillId="10" borderId="0" xfId="2" applyFont="1" applyFill="1"/>
    <xf numFmtId="0" fontId="3" fillId="5" borderId="7" xfId="0" applyFont="1" applyFill="1" applyBorder="1"/>
    <xf numFmtId="0" fontId="9" fillId="5" borderId="9" xfId="0" applyFont="1" applyFill="1" applyBorder="1"/>
    <xf numFmtId="0" fontId="3" fillId="5" borderId="11" xfId="0" applyFont="1" applyFill="1" applyBorder="1"/>
    <xf numFmtId="0" fontId="3" fillId="5" borderId="13" xfId="0" applyFont="1" applyFill="1" applyBorder="1"/>
    <xf numFmtId="164" fontId="0" fillId="8" borderId="0" xfId="0" applyNumberFormat="1" applyFill="1"/>
    <xf numFmtId="14" fontId="0" fillId="6" borderId="0" xfId="0" applyNumberFormat="1" applyFill="1" applyAlignment="1">
      <alignment horizontal="left"/>
    </xf>
    <xf numFmtId="0" fontId="2" fillId="10" borderId="0" xfId="0" applyFont="1" applyFill="1" applyAlignment="1">
      <alignment horizontal="left"/>
    </xf>
    <xf numFmtId="0" fontId="2" fillId="10" borderId="0" xfId="0" applyFont="1" applyFill="1" applyAlignment="1">
      <alignment horizontal="center" vertical="top"/>
    </xf>
    <xf numFmtId="0" fontId="0" fillId="6" borderId="0" xfId="0" applyFill="1" applyAlignment="1">
      <alignment horizontal="center" vertical="top"/>
    </xf>
    <xf numFmtId="44" fontId="0" fillId="6" borderId="0" xfId="1" applyFont="1" applyFill="1" applyAlignment="1">
      <alignment horizontal="center" vertical="center"/>
    </xf>
    <xf numFmtId="44" fontId="0" fillId="6" borderId="16" xfId="1" applyNumberFormat="1" applyFont="1" applyFill="1" applyBorder="1"/>
    <xf numFmtId="44" fontId="0" fillId="11" borderId="0" xfId="0" applyNumberFormat="1" applyFill="1"/>
    <xf numFmtId="0" fontId="0" fillId="11" borderId="0" xfId="0" applyFill="1" applyAlignment="1">
      <alignment horizontal="center" vertical="top"/>
    </xf>
    <xf numFmtId="14" fontId="0" fillId="11" borderId="0" xfId="0" applyNumberFormat="1" applyFill="1" applyAlignment="1">
      <alignment horizontal="left"/>
    </xf>
    <xf numFmtId="44" fontId="0" fillId="11" borderId="0" xfId="1" applyFont="1" applyFill="1" applyAlignment="1">
      <alignment horizontal="center" vertical="center"/>
    </xf>
    <xf numFmtId="44" fontId="0" fillId="11" borderId="0" xfId="1" applyFont="1" applyFill="1"/>
    <xf numFmtId="0" fontId="0" fillId="11" borderId="0" xfId="0" applyFill="1"/>
    <xf numFmtId="10" fontId="0" fillId="11" borderId="0" xfId="2" applyNumberFormat="1" applyFont="1" applyFill="1"/>
    <xf numFmtId="171" fontId="0" fillId="6" borderId="0" xfId="1" applyNumberFormat="1" applyFont="1" applyFill="1" applyAlignment="1">
      <alignment horizontal="center" vertical="center"/>
    </xf>
    <xf numFmtId="171" fontId="0" fillId="6" borderId="0" xfId="1" applyNumberFormat="1" applyFont="1" applyFill="1"/>
    <xf numFmtId="171" fontId="7" fillId="5" borderId="8" xfId="0" applyNumberFormat="1" applyFont="1" applyFill="1" applyBorder="1"/>
    <xf numFmtId="44" fontId="0" fillId="8" borderId="0" xfId="0" applyNumberFormat="1" applyFill="1" applyBorder="1"/>
    <xf numFmtId="0" fontId="0" fillId="8" borderId="0" xfId="0" applyFill="1" applyBorder="1"/>
  </cellXfs>
  <cellStyles count="23">
    <cellStyle name="Currency" xfId="1" builtinId="4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Normal" xfId="0" builtinId="0"/>
    <cellStyle name="Percent" xfId="2" builtinId="5"/>
  </cellStyles>
  <dxfs count="13">
    <dxf>
      <numFmt numFmtId="34" formatCode="_(&quot;$&quot;* #,##0.00_);_(&quot;$&quot;* \(#,##0.00\);_(&quot;$&quot;* &quot;-&quot;??_);_(@_)"/>
      <fill>
        <patternFill>
          <fgColor indexed="64"/>
          <bgColor theme="2" tint="-9.9978637043366805E-2"/>
        </patternFill>
      </fill>
    </dxf>
    <dxf>
      <fill>
        <patternFill>
          <fgColor indexed="64"/>
          <bgColor theme="2" tint="-9.9978637043366805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theme="2" tint="-9.9978637043366805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theme="2" tint="-9.9978637043366805E-2"/>
        </patternFill>
      </fill>
    </dxf>
    <dxf>
      <numFmt numFmtId="34" formatCode="_(&quot;$&quot;* #,##0.00_);_(&quot;$&quot;* \(#,##0.00\);_(&quot;$&quot;* &quot;-&quot;??_);_(@_)"/>
      <fill>
        <patternFill>
          <fgColor indexed="64"/>
          <bgColor theme="2" tint="-9.9978637043366805E-2"/>
        </patternFill>
      </fill>
    </dxf>
    <dxf>
      <numFmt numFmtId="0" formatCode="General"/>
      <fill>
        <patternFill>
          <fgColor indexed="64"/>
          <bgColor theme="2" tint="-9.9978637043366805E-2"/>
        </patternFill>
      </fill>
    </dxf>
    <dxf>
      <fill>
        <patternFill>
          <fgColor indexed="64"/>
          <bgColor theme="2" tint="-9.9978637043366805E-2"/>
        </patternFill>
      </fill>
    </dxf>
    <dxf>
      <fill>
        <patternFill>
          <fgColor indexed="64"/>
          <bgColor theme="2" tint="-9.9978637043366805E-2"/>
        </patternFill>
      </fill>
    </dxf>
    <dxf>
      <fill>
        <patternFill>
          <fgColor indexed="64"/>
          <bgColor theme="2" tint="-9.9978637043366805E-2"/>
        </patternFill>
      </fill>
    </dxf>
    <dxf>
      <numFmt numFmtId="19" formatCode="mm/dd/yyyy"/>
      <fill>
        <patternFill>
          <fgColor indexed="64"/>
          <bgColor theme="2" tint="-9.9978637043366805E-2"/>
        </patternFill>
      </fill>
    </dxf>
    <dxf>
      <fill>
        <patternFill>
          <fgColor indexed="64"/>
          <bgColor theme="2" tint="-9.9978637043366805E-2"/>
        </patternFill>
      </fill>
    </dxf>
    <dxf>
      <fill>
        <patternFill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9" tint="0.39997558519241921"/>
        </patternFill>
      </fill>
    </dxf>
  </dxfs>
  <tableStyles count="0" defaultTableStyle="TableStyleMedium2" defaultPivotStyle="PivotStyleLight16"/>
  <colors>
    <mruColors>
      <color rgb="FFD94C4A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561975</xdr:colOff>
      <xdr:row>11</xdr:row>
      <xdr:rowOff>9525</xdr:rowOff>
    </xdr:from>
    <xdr:to>
      <xdr:col>12</xdr:col>
      <xdr:colOff>676275</xdr:colOff>
      <xdr:row>12</xdr:row>
      <xdr:rowOff>180975</xdr:rowOff>
    </xdr:to>
    <xdr:sp macro="[0]!refreshIndx" textlink="">
      <xdr:nvSpPr>
        <xdr:cNvPr id="2" name="Rounded Rectangle 1"/>
        <xdr:cNvSpPr/>
      </xdr:nvSpPr>
      <xdr:spPr>
        <a:xfrm>
          <a:off x="8543925" y="2647950"/>
          <a:ext cx="704850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press</a:t>
          </a:r>
          <a:r>
            <a:rPr lang="en-US" sz="1100" baseline="0"/>
            <a:t> 1</a:t>
          </a:r>
          <a:endParaRPr lang="en-US" sz="1100"/>
        </a:p>
      </xdr:txBody>
    </xdr:sp>
    <xdr:clientData/>
  </xdr:twoCellAnchor>
  <xdr:twoCellAnchor>
    <xdr:from>
      <xdr:col>13</xdr:col>
      <xdr:colOff>514350</xdr:colOff>
      <xdr:row>11</xdr:row>
      <xdr:rowOff>0</xdr:rowOff>
    </xdr:from>
    <xdr:to>
      <xdr:col>13</xdr:col>
      <xdr:colOff>904875</xdr:colOff>
      <xdr:row>13</xdr:row>
      <xdr:rowOff>9525</xdr:rowOff>
    </xdr:to>
    <xdr:sp macro="[0]!refreshIndx1" textlink="">
      <xdr:nvSpPr>
        <xdr:cNvPr id="3" name="Rounded Rectangle 2"/>
        <xdr:cNvSpPr/>
      </xdr:nvSpPr>
      <xdr:spPr>
        <a:xfrm>
          <a:off x="9801225" y="2638425"/>
          <a:ext cx="390525" cy="390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13</xdr:col>
      <xdr:colOff>104775</xdr:colOff>
      <xdr:row>11</xdr:row>
      <xdr:rowOff>142875</xdr:rowOff>
    </xdr:from>
    <xdr:to>
      <xdr:col>13</xdr:col>
      <xdr:colOff>400050</xdr:colOff>
      <xdr:row>11</xdr:row>
      <xdr:rowOff>142875</xdr:rowOff>
    </xdr:to>
    <xdr:cxnSp macro="">
      <xdr:nvCxnSpPr>
        <xdr:cNvPr id="5" name="Straight Arrow Connector 4"/>
        <xdr:cNvCxnSpPr/>
      </xdr:nvCxnSpPr>
      <xdr:spPr>
        <a:xfrm>
          <a:off x="9391650" y="2781300"/>
          <a:ext cx="295275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85725</xdr:colOff>
      <xdr:row>0</xdr:row>
      <xdr:rowOff>114300</xdr:rowOff>
    </xdr:from>
    <xdr:to>
      <xdr:col>9</xdr:col>
      <xdr:colOff>552450</xdr:colOff>
      <xdr:row>2</xdr:row>
      <xdr:rowOff>66675</xdr:rowOff>
    </xdr:to>
    <xdr:sp macro="[0]!move_data" textlink="">
      <xdr:nvSpPr>
        <xdr:cNvPr id="2" name="Rectangle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7915275" y="114300"/>
          <a:ext cx="10763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move data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coinmarketcap" connectionId="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" name="Table1" displayName="Table1" ref="A3:K500" totalsRowShown="0" headerRowDxfId="12" dataDxfId="11">
  <autoFilter ref="A3:K500"/>
  <tableColumns count="11">
    <tableColumn id="1" name="0= active investment,  1= inactive and will not be summed" dataDxfId="10"/>
    <tableColumn id="2" name="date" dataDxfId="9"/>
    <tableColumn id="3" name="debit" dataDxfId="8"/>
    <tableColumn id="4" name="blank" dataDxfId="7"/>
    <tableColumn id="5" name="coin" dataDxfId="6"/>
    <tableColumn id="6" name="coin value" dataDxfId="5">
      <calculatedColumnFormula>VLOOKUP(E4,'Price indx'!#REF!,3,FALSE)</calculatedColumnFormula>
    </tableColumn>
    <tableColumn id="7" name="amount" dataDxfId="4"/>
    <tableColumn id="8" name="current val" dataDxfId="3" dataCellStyle="Currency">
      <calculatedColumnFormula>G4*F4</calculatedColumnFormula>
    </tableColumn>
    <tableColumn id="9" name="growth" dataDxfId="2" dataCellStyle="Percent">
      <calculatedColumnFormula>H4/C4-1</calculatedColumnFormula>
    </tableColumn>
    <tableColumn id="10" name="blank2" dataDxfId="1"/>
    <tableColumn id="11" name="Current Cost" dataDxfId="0" dataCellStyle="Currency">
      <calculatedColumnFormula>IF(A4=0,(C4),(0))</calculatedColumnFormula>
    </tableColumn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H526"/>
  <sheetViews>
    <sheetView tabSelected="1" workbookViewId="0">
      <selection activeCell="A3" sqref="A3"/>
    </sheetView>
  </sheetViews>
  <sheetFormatPr defaultColWidth="8.85546875" defaultRowHeight="15" x14ac:dyDescent="0.25"/>
  <cols>
    <col min="1" max="1" width="13.28515625" customWidth="1"/>
    <col min="2" max="2" width="10.7109375" bestFit="1" customWidth="1"/>
    <col min="3" max="3" width="15.85546875" customWidth="1"/>
    <col min="4" max="4" width="0.42578125" customWidth="1"/>
    <col min="6" max="6" width="12.140625" customWidth="1"/>
    <col min="7" max="7" width="10" customWidth="1"/>
    <col min="8" max="8" width="13.42578125" style="4" customWidth="1"/>
    <col min="9" max="9" width="10.42578125" style="5" customWidth="1"/>
    <col min="10" max="10" width="0.28515625" customWidth="1"/>
    <col min="11" max="11" width="15.42578125" style="4" customWidth="1"/>
    <col min="12" max="12" width="4.7109375" customWidth="1"/>
    <col min="13" max="13" width="10.7109375" bestFit="1" customWidth="1"/>
    <col min="14" max="14" width="14.140625" customWidth="1"/>
    <col min="15" max="15" width="21.5703125" customWidth="1"/>
    <col min="16" max="16" width="7.42578125" customWidth="1"/>
    <col min="17" max="17" width="9.7109375" bestFit="1" customWidth="1"/>
  </cols>
  <sheetData>
    <row r="1" spans="1:21" ht="33" x14ac:dyDescent="0.85">
      <c r="A1" s="25" t="s">
        <v>312</v>
      </c>
      <c r="B1" s="31"/>
      <c r="C1" s="26"/>
      <c r="D1" s="26"/>
      <c r="E1" s="26"/>
      <c r="F1" s="26"/>
      <c r="G1" s="26"/>
      <c r="H1" s="28"/>
      <c r="I1" s="28"/>
      <c r="J1" s="26"/>
      <c r="K1" s="27"/>
      <c r="L1" s="26"/>
      <c r="M1" s="26"/>
      <c r="N1" s="26"/>
      <c r="O1" s="26"/>
      <c r="P1" s="26"/>
      <c r="Q1" s="26"/>
      <c r="R1" s="26"/>
      <c r="S1" s="26"/>
      <c r="T1" s="33"/>
      <c r="U1" s="33"/>
    </row>
    <row r="2" spans="1:21" ht="15.75" thickBot="1" x14ac:dyDescent="0.3">
      <c r="A2" s="26"/>
      <c r="B2" s="31"/>
      <c r="C2" s="26"/>
      <c r="D2" s="26"/>
      <c r="E2" s="26"/>
      <c r="F2" s="26"/>
      <c r="G2" s="26"/>
      <c r="H2" s="27"/>
      <c r="I2" s="28"/>
      <c r="J2" s="26"/>
      <c r="K2" s="27"/>
      <c r="L2" s="26"/>
      <c r="M2" s="26"/>
      <c r="N2" s="26"/>
      <c r="O2" s="26"/>
      <c r="P2" s="26"/>
      <c r="Q2" s="26"/>
      <c r="R2" s="26"/>
      <c r="S2" s="26"/>
      <c r="T2" s="33"/>
      <c r="U2" s="33"/>
    </row>
    <row r="3" spans="1:21" x14ac:dyDescent="0.25">
      <c r="A3" s="44" t="s">
        <v>313</v>
      </c>
      <c r="B3" s="43" t="s">
        <v>43</v>
      </c>
      <c r="C3" s="34" t="s">
        <v>47</v>
      </c>
      <c r="D3" s="48" t="s">
        <v>270</v>
      </c>
      <c r="E3" s="34" t="s">
        <v>44</v>
      </c>
      <c r="F3" s="34" t="s">
        <v>45</v>
      </c>
      <c r="G3" s="34" t="s">
        <v>46</v>
      </c>
      <c r="H3" s="35" t="s">
        <v>49</v>
      </c>
      <c r="I3" s="36" t="s">
        <v>48</v>
      </c>
      <c r="J3" s="48" t="s">
        <v>271</v>
      </c>
      <c r="K3" s="35" t="s">
        <v>51</v>
      </c>
      <c r="L3" s="26"/>
      <c r="M3" s="10"/>
      <c r="N3" s="11"/>
      <c r="O3" s="12"/>
      <c r="P3" s="26"/>
      <c r="Q3" s="26"/>
      <c r="R3" s="26"/>
      <c r="S3" s="26"/>
      <c r="T3" s="33"/>
      <c r="U3" s="33"/>
    </row>
    <row r="4" spans="1:21" ht="18.75" x14ac:dyDescent="0.3">
      <c r="A4" s="45">
        <v>0</v>
      </c>
      <c r="B4" s="42">
        <v>40091</v>
      </c>
      <c r="C4" s="55">
        <f>1/1309.03</f>
        <v>7.6392443259512771E-4</v>
      </c>
      <c r="D4" s="48"/>
      <c r="E4" s="21" t="s">
        <v>82</v>
      </c>
      <c r="F4" s="22">
        <f>VLOOKUP(E4,'Price indx'!$A$2:$C$101,3,FALSE)</f>
        <v>10705.2</v>
      </c>
      <c r="G4" s="21">
        <v>1</v>
      </c>
      <c r="H4" s="47">
        <f>IF(A4=0,(G4*F4),(0.000000001))</f>
        <v>10705.2</v>
      </c>
      <c r="I4" s="24">
        <f>H4/C4-1</f>
        <v>14013426.956</v>
      </c>
      <c r="J4" s="48">
        <v>0</v>
      </c>
      <c r="K4" s="56">
        <f>IF(A4=0,(C4),(0.000000001))</f>
        <v>7.6392443259512771E-4</v>
      </c>
      <c r="L4" s="26"/>
      <c r="M4" s="37" t="s">
        <v>53</v>
      </c>
      <c r="N4" s="13"/>
      <c r="O4" s="57">
        <f>SUM(K4:K90)</f>
        <v>19498.940763924431</v>
      </c>
      <c r="P4" s="26"/>
      <c r="Q4" s="26"/>
      <c r="R4" s="26"/>
      <c r="S4" s="26"/>
      <c r="T4" s="33"/>
      <c r="U4" s="33"/>
    </row>
    <row r="5" spans="1:21" ht="18.75" x14ac:dyDescent="0.3">
      <c r="A5" s="45">
        <v>0</v>
      </c>
      <c r="B5" s="42">
        <v>43087</v>
      </c>
      <c r="C5" s="55">
        <v>19498.939999999999</v>
      </c>
      <c r="D5" s="48"/>
      <c r="E5" s="21" t="s">
        <v>82</v>
      </c>
      <c r="F5" s="22">
        <f>VLOOKUP(E5,'Price indx'!$A$2:$C$101,3,FALSE)</f>
        <v>10705.2</v>
      </c>
      <c r="G5" s="21">
        <v>1</v>
      </c>
      <c r="H5" s="47">
        <f t="shared" ref="H5:H57" si="0">IF(A5=0,(G5*F5),(0.000000001))</f>
        <v>10705.2</v>
      </c>
      <c r="I5" s="24">
        <f t="shared" ref="I5:I68" si="1">H5/C5-1</f>
        <v>-0.45098554075247155</v>
      </c>
      <c r="J5" s="48">
        <v>0</v>
      </c>
      <c r="K5" s="22">
        <f t="shared" ref="K5:K67" si="2">IF(A5=0,(C5),(0))</f>
        <v>19498.939999999999</v>
      </c>
      <c r="L5" s="26"/>
      <c r="M5" s="38"/>
      <c r="N5" s="14"/>
      <c r="O5" s="15"/>
      <c r="P5" s="26"/>
      <c r="Q5" s="26"/>
      <c r="R5" s="26"/>
      <c r="S5" s="26"/>
      <c r="T5" s="33"/>
      <c r="U5" s="33"/>
    </row>
    <row r="6" spans="1:21" ht="18.75" x14ac:dyDescent="0.3">
      <c r="A6" s="45">
        <v>0</v>
      </c>
      <c r="B6" s="42"/>
      <c r="C6" s="46"/>
      <c r="D6" s="48"/>
      <c r="E6" s="21" t="s">
        <v>82</v>
      </c>
      <c r="F6" s="22">
        <f>VLOOKUP(E6,'Price indx'!$A$2:$C$101,3,FALSE)</f>
        <v>10705.2</v>
      </c>
      <c r="G6" s="21"/>
      <c r="H6" s="47">
        <f t="shared" si="0"/>
        <v>0</v>
      </c>
      <c r="I6" s="24" t="e">
        <f t="shared" si="1"/>
        <v>#DIV/0!</v>
      </c>
      <c r="J6" s="48">
        <v>0</v>
      </c>
      <c r="K6" s="22">
        <f t="shared" si="2"/>
        <v>0</v>
      </c>
      <c r="L6" s="26"/>
      <c r="M6" s="37" t="s">
        <v>52</v>
      </c>
      <c r="N6" s="13"/>
      <c r="O6" s="16">
        <f>SUM(H4:H57)</f>
        <v>21410.400000000001</v>
      </c>
      <c r="P6" s="26"/>
      <c r="Q6" s="26"/>
      <c r="R6" s="26"/>
      <c r="S6" s="26"/>
      <c r="T6" s="33"/>
      <c r="U6" s="33"/>
    </row>
    <row r="7" spans="1:21" ht="18.75" x14ac:dyDescent="0.3">
      <c r="A7" s="45">
        <v>0</v>
      </c>
      <c r="B7" s="42"/>
      <c r="C7" s="46"/>
      <c r="D7" s="48"/>
      <c r="E7" s="21" t="s">
        <v>86</v>
      </c>
      <c r="F7" s="22">
        <f>VLOOKUP(E7,'Price indx'!$A$2:$C$101,3,FALSE)</f>
        <v>217.35</v>
      </c>
      <c r="G7" s="21"/>
      <c r="H7" s="47">
        <f t="shared" si="0"/>
        <v>0</v>
      </c>
      <c r="I7" s="24" t="e">
        <f t="shared" si="1"/>
        <v>#DIV/0!</v>
      </c>
      <c r="J7" s="48">
        <v>0</v>
      </c>
      <c r="K7" s="22">
        <f t="shared" si="2"/>
        <v>0</v>
      </c>
      <c r="L7" s="26"/>
      <c r="M7" s="39" t="s">
        <v>54</v>
      </c>
      <c r="N7" s="17"/>
      <c r="O7" s="18">
        <f>O6-O4</f>
        <v>1911.4592360755705</v>
      </c>
      <c r="P7" s="26"/>
      <c r="Q7" s="58"/>
      <c r="R7" s="59"/>
      <c r="S7" s="26"/>
      <c r="T7" s="33"/>
      <c r="U7" s="33"/>
    </row>
    <row r="8" spans="1:21" ht="18.75" x14ac:dyDescent="0.3">
      <c r="A8" s="45">
        <v>0</v>
      </c>
      <c r="B8" s="42"/>
      <c r="C8" s="46"/>
      <c r="D8" s="48"/>
      <c r="E8" s="21" t="s">
        <v>86</v>
      </c>
      <c r="F8" s="22">
        <f>VLOOKUP(E8,'Price indx'!$A$2:$C$101,3,FALSE)</f>
        <v>217.35</v>
      </c>
      <c r="G8" s="21"/>
      <c r="H8" s="47">
        <f t="shared" si="0"/>
        <v>0</v>
      </c>
      <c r="I8" s="24" t="e">
        <f t="shared" si="1"/>
        <v>#DIV/0!</v>
      </c>
      <c r="J8" s="48">
        <v>0</v>
      </c>
      <c r="K8" s="22">
        <f t="shared" si="2"/>
        <v>0</v>
      </c>
      <c r="L8" s="26"/>
      <c r="M8" s="39"/>
      <c r="N8" s="17"/>
      <c r="O8" s="18"/>
      <c r="P8" s="26"/>
      <c r="Q8" s="26"/>
      <c r="R8" s="26"/>
      <c r="S8" s="26"/>
      <c r="T8" s="33"/>
      <c r="U8" s="33"/>
    </row>
    <row r="9" spans="1:21" ht="19.5" thickBot="1" x14ac:dyDescent="0.35">
      <c r="A9" s="45">
        <v>0</v>
      </c>
      <c r="B9" s="42"/>
      <c r="C9" s="46"/>
      <c r="D9" s="48"/>
      <c r="E9" s="21" t="s">
        <v>86</v>
      </c>
      <c r="F9" s="22">
        <f>VLOOKUP(E9,'Price indx'!$A$2:$C$101,3,FALSE)</f>
        <v>217.35</v>
      </c>
      <c r="G9" s="21"/>
      <c r="H9" s="47">
        <f t="shared" si="0"/>
        <v>0</v>
      </c>
      <c r="I9" s="24" t="e">
        <f t="shared" si="1"/>
        <v>#DIV/0!</v>
      </c>
      <c r="J9" s="48">
        <v>0</v>
      </c>
      <c r="K9" s="22">
        <f t="shared" si="2"/>
        <v>0</v>
      </c>
      <c r="L9" s="26"/>
      <c r="M9" s="40" t="s">
        <v>50</v>
      </c>
      <c r="N9" s="19"/>
      <c r="O9" s="20">
        <f>O6/O4-1</f>
        <v>9.8028875476765309E-2</v>
      </c>
      <c r="P9" s="26"/>
      <c r="Q9" s="26"/>
      <c r="R9" s="26"/>
      <c r="S9" s="26"/>
      <c r="T9" s="33"/>
      <c r="U9" s="33"/>
    </row>
    <row r="10" spans="1:21" x14ac:dyDescent="0.25">
      <c r="A10" s="45">
        <v>0</v>
      </c>
      <c r="B10" s="42"/>
      <c r="C10" s="46"/>
      <c r="D10" s="48"/>
      <c r="E10" s="21" t="s">
        <v>83</v>
      </c>
      <c r="F10" s="22">
        <f>VLOOKUP(E10,'Price indx'!$A$2:$C$101,3,FALSE)</f>
        <v>881.08</v>
      </c>
      <c r="G10" s="21"/>
      <c r="H10" s="47">
        <f t="shared" si="0"/>
        <v>0</v>
      </c>
      <c r="I10" s="24" t="e">
        <f t="shared" si="1"/>
        <v>#DIV/0!</v>
      </c>
      <c r="J10" s="48">
        <v>0</v>
      </c>
      <c r="K10" s="22">
        <f t="shared" si="2"/>
        <v>0</v>
      </c>
      <c r="L10" s="26"/>
      <c r="M10" s="26"/>
      <c r="N10" s="26"/>
      <c r="O10" s="26"/>
      <c r="P10" s="26"/>
      <c r="Q10" s="26"/>
      <c r="R10" s="26"/>
      <c r="S10" s="26"/>
      <c r="T10" s="33"/>
      <c r="U10" s="33"/>
    </row>
    <row r="11" spans="1:21" x14ac:dyDescent="0.25">
      <c r="A11" s="45">
        <v>0</v>
      </c>
      <c r="B11" s="42"/>
      <c r="C11" s="46"/>
      <c r="D11" s="48"/>
      <c r="E11" s="21" t="s">
        <v>86</v>
      </c>
      <c r="F11" s="22">
        <f>VLOOKUP(E11,'Price indx'!$A$2:$C$101,3,FALSE)</f>
        <v>217.35</v>
      </c>
      <c r="G11" s="21"/>
      <c r="H11" s="47">
        <f t="shared" si="0"/>
        <v>0</v>
      </c>
      <c r="I11" s="24" t="e">
        <f t="shared" si="1"/>
        <v>#DIV/0!</v>
      </c>
      <c r="J11" s="48">
        <v>0</v>
      </c>
      <c r="K11" s="22">
        <f t="shared" si="2"/>
        <v>0</v>
      </c>
      <c r="L11" s="26"/>
      <c r="M11" s="26" t="s">
        <v>265</v>
      </c>
      <c r="N11" s="26"/>
      <c r="O11" s="26"/>
      <c r="P11" s="26"/>
      <c r="Q11" s="26"/>
      <c r="R11" s="26"/>
      <c r="S11" s="26"/>
      <c r="T11" s="33"/>
      <c r="U11" s="33"/>
    </row>
    <row r="12" spans="1:21" x14ac:dyDescent="0.25">
      <c r="A12" s="45">
        <v>0</v>
      </c>
      <c r="B12" s="42"/>
      <c r="C12" s="46"/>
      <c r="D12" s="48"/>
      <c r="E12" s="21" t="s">
        <v>82</v>
      </c>
      <c r="F12" s="22">
        <f>VLOOKUP(E12,'Price indx'!$A$2:$C$101,3,FALSE)</f>
        <v>10705.2</v>
      </c>
      <c r="G12" s="21"/>
      <c r="H12" s="47">
        <f t="shared" si="0"/>
        <v>0</v>
      </c>
      <c r="I12" s="24" t="e">
        <f t="shared" si="1"/>
        <v>#DIV/0!</v>
      </c>
      <c r="J12" s="48">
        <v>0</v>
      </c>
      <c r="K12" s="22">
        <f t="shared" si="2"/>
        <v>0</v>
      </c>
      <c r="L12" s="29"/>
      <c r="M12" s="26"/>
      <c r="N12" s="26"/>
      <c r="O12" s="26"/>
      <c r="P12" s="26"/>
      <c r="Q12" s="26"/>
      <c r="R12" s="26"/>
      <c r="S12" s="26"/>
      <c r="T12" s="33"/>
      <c r="U12" s="33"/>
    </row>
    <row r="13" spans="1:21" x14ac:dyDescent="0.25">
      <c r="A13" s="45">
        <v>0</v>
      </c>
      <c r="B13" s="42"/>
      <c r="C13" s="46"/>
      <c r="D13" s="48"/>
      <c r="E13" s="21" t="s">
        <v>83</v>
      </c>
      <c r="F13" s="22">
        <f>VLOOKUP(E13,'Price indx'!$A$2:$C$101,3,FALSE)</f>
        <v>881.08</v>
      </c>
      <c r="G13" s="21"/>
      <c r="H13" s="47">
        <f t="shared" si="0"/>
        <v>0</v>
      </c>
      <c r="I13" s="24" t="e">
        <f t="shared" si="1"/>
        <v>#DIV/0!</v>
      </c>
      <c r="J13" s="48">
        <v>0</v>
      </c>
      <c r="K13" s="22">
        <f t="shared" si="2"/>
        <v>0</v>
      </c>
      <c r="L13" s="29"/>
      <c r="M13" s="30"/>
      <c r="N13" s="26"/>
      <c r="O13" s="26"/>
      <c r="P13" s="26"/>
      <c r="Q13" s="26"/>
      <c r="R13" s="26"/>
      <c r="S13" s="26"/>
      <c r="T13" s="33"/>
      <c r="U13" s="33"/>
    </row>
    <row r="14" spans="1:21" x14ac:dyDescent="0.25">
      <c r="A14" s="45">
        <v>0</v>
      </c>
      <c r="B14" s="42"/>
      <c r="C14" s="46"/>
      <c r="D14" s="48"/>
      <c r="E14" s="21" t="s">
        <v>82</v>
      </c>
      <c r="F14" s="22">
        <f>VLOOKUP(E14,'Price indx'!$A$2:$C$101,3,FALSE)</f>
        <v>10705.2</v>
      </c>
      <c r="G14" s="21"/>
      <c r="H14" s="47">
        <f t="shared" si="0"/>
        <v>0</v>
      </c>
      <c r="I14" s="24" t="e">
        <f t="shared" si="1"/>
        <v>#DIV/0!</v>
      </c>
      <c r="J14" s="48">
        <v>0</v>
      </c>
      <c r="K14" s="22">
        <f t="shared" si="2"/>
        <v>0</v>
      </c>
      <c r="L14" s="29"/>
      <c r="M14" s="26"/>
      <c r="N14" s="26"/>
      <c r="O14" s="32"/>
      <c r="P14" s="26"/>
      <c r="Q14" s="26"/>
      <c r="R14" s="26"/>
      <c r="S14" s="26"/>
      <c r="T14" s="33"/>
      <c r="U14" s="33"/>
    </row>
    <row r="15" spans="1:21" x14ac:dyDescent="0.25">
      <c r="A15" s="45">
        <v>0</v>
      </c>
      <c r="B15" s="42"/>
      <c r="C15" s="46"/>
      <c r="D15" s="48"/>
      <c r="E15" s="21" t="s">
        <v>83</v>
      </c>
      <c r="F15" s="22">
        <f>VLOOKUP(E15,'Price indx'!$A$2:$C$101,3,FALSE)</f>
        <v>881.08</v>
      </c>
      <c r="G15" s="21"/>
      <c r="H15" s="47">
        <f t="shared" si="0"/>
        <v>0</v>
      </c>
      <c r="I15" s="24" t="e">
        <f t="shared" si="1"/>
        <v>#DIV/0!</v>
      </c>
      <c r="J15" s="48">
        <v>0</v>
      </c>
      <c r="K15" s="22">
        <f t="shared" si="2"/>
        <v>0</v>
      </c>
      <c r="L15" s="31" t="s">
        <v>2</v>
      </c>
      <c r="M15" s="26" t="s">
        <v>266</v>
      </c>
      <c r="N15" s="26"/>
      <c r="O15" s="26"/>
      <c r="P15" s="26"/>
      <c r="Q15" s="26"/>
      <c r="R15" s="26"/>
      <c r="S15" s="26"/>
      <c r="T15" s="33"/>
      <c r="U15" s="33"/>
    </row>
    <row r="16" spans="1:21" x14ac:dyDescent="0.25">
      <c r="A16" s="45">
        <v>0</v>
      </c>
      <c r="B16" s="42"/>
      <c r="C16" s="46"/>
      <c r="D16" s="48"/>
      <c r="E16" s="21" t="s">
        <v>86</v>
      </c>
      <c r="F16" s="22">
        <f>VLOOKUP(E16,'Price indx'!$A$2:$C$101,3,FALSE)</f>
        <v>217.35</v>
      </c>
      <c r="G16" s="21"/>
      <c r="H16" s="47">
        <f t="shared" si="0"/>
        <v>0</v>
      </c>
      <c r="I16" s="24" t="e">
        <f t="shared" si="1"/>
        <v>#DIV/0!</v>
      </c>
      <c r="J16" s="48">
        <v>0</v>
      </c>
      <c r="K16" s="22">
        <f t="shared" si="2"/>
        <v>0</v>
      </c>
      <c r="L16" s="26"/>
      <c r="M16" s="26" t="s">
        <v>267</v>
      </c>
      <c r="N16" s="26"/>
      <c r="O16" s="26"/>
      <c r="P16" s="26"/>
      <c r="Q16" s="26"/>
      <c r="R16" s="26"/>
      <c r="S16" s="26"/>
      <c r="T16" s="33"/>
      <c r="U16" s="33"/>
    </row>
    <row r="17" spans="1:21" x14ac:dyDescent="0.25">
      <c r="A17" s="45">
        <v>0</v>
      </c>
      <c r="B17" s="42"/>
      <c r="C17" s="46"/>
      <c r="D17" s="48"/>
      <c r="E17" s="21" t="s">
        <v>84</v>
      </c>
      <c r="F17" s="22">
        <f>VLOOKUP(E17,'Price indx'!$A$2:$C$101,3,FALSE)</f>
        <v>0.95271099999999997</v>
      </c>
      <c r="G17" s="21"/>
      <c r="H17" s="47">
        <f t="shared" si="0"/>
        <v>0</v>
      </c>
      <c r="I17" s="24" t="e">
        <f t="shared" si="1"/>
        <v>#DIV/0!</v>
      </c>
      <c r="J17" s="48">
        <v>0</v>
      </c>
      <c r="K17" s="22">
        <f t="shared" si="2"/>
        <v>0</v>
      </c>
      <c r="L17" s="26"/>
      <c r="M17" s="26" t="s">
        <v>268</v>
      </c>
      <c r="N17" s="26"/>
      <c r="O17" s="26"/>
      <c r="P17" s="26"/>
      <c r="Q17" s="26"/>
      <c r="R17" s="26"/>
      <c r="S17" s="26"/>
      <c r="T17" s="33"/>
      <c r="U17" s="33"/>
    </row>
    <row r="18" spans="1:21" x14ac:dyDescent="0.25">
      <c r="A18" s="45">
        <v>0</v>
      </c>
      <c r="B18" s="42"/>
      <c r="C18" s="46"/>
      <c r="D18" s="48"/>
      <c r="E18" s="21" t="s">
        <v>83</v>
      </c>
      <c r="F18" s="22">
        <f>VLOOKUP(E18,'Price indx'!$A$2:$C$101,3,FALSE)</f>
        <v>881.08</v>
      </c>
      <c r="G18" s="21"/>
      <c r="H18" s="47">
        <f t="shared" si="0"/>
        <v>0</v>
      </c>
      <c r="I18" s="24" t="e">
        <f t="shared" si="1"/>
        <v>#DIV/0!</v>
      </c>
      <c r="J18" s="48">
        <v>0</v>
      </c>
      <c r="K18" s="22">
        <f t="shared" ref="K18" si="3">IF(A18=0,(C18),(0))</f>
        <v>0</v>
      </c>
      <c r="L18" s="26"/>
      <c r="M18" s="26" t="s">
        <v>269</v>
      </c>
      <c r="N18" s="32"/>
      <c r="O18" s="32"/>
      <c r="P18" s="26"/>
      <c r="Q18" s="26"/>
      <c r="R18" s="26"/>
      <c r="S18" s="26"/>
      <c r="T18" s="33"/>
      <c r="U18" s="33"/>
    </row>
    <row r="19" spans="1:21" x14ac:dyDescent="0.25">
      <c r="A19" s="45">
        <v>0</v>
      </c>
      <c r="B19" s="42"/>
      <c r="C19" s="46"/>
      <c r="D19" s="48"/>
      <c r="E19" s="21" t="s">
        <v>91</v>
      </c>
      <c r="F19" s="22">
        <f>VLOOKUP(E19,'Price indx'!$A$2:$C$101,3,FALSE)</f>
        <v>2.02</v>
      </c>
      <c r="G19" s="21"/>
      <c r="H19" s="47">
        <f t="shared" si="0"/>
        <v>0</v>
      </c>
      <c r="I19" s="24" t="e">
        <f t="shared" si="1"/>
        <v>#DIV/0!</v>
      </c>
      <c r="J19" s="48">
        <v>0</v>
      </c>
      <c r="K19" s="22">
        <f t="shared" si="2"/>
        <v>0</v>
      </c>
      <c r="L19" s="26" t="s">
        <v>2</v>
      </c>
      <c r="M19" s="32" t="s">
        <v>305</v>
      </c>
      <c r="N19" s="41"/>
      <c r="O19" s="32"/>
      <c r="P19" s="26"/>
      <c r="Q19" s="26"/>
      <c r="R19" s="26"/>
      <c r="S19" s="26"/>
      <c r="T19" s="33"/>
      <c r="U19" s="33"/>
    </row>
    <row r="20" spans="1:21" x14ac:dyDescent="0.25">
      <c r="A20" s="45">
        <v>0</v>
      </c>
      <c r="B20" s="42"/>
      <c r="C20" s="46"/>
      <c r="D20" s="48"/>
      <c r="E20" s="21" t="s">
        <v>94</v>
      </c>
      <c r="F20" s="22">
        <f>VLOOKUP(E20,'Price indx'!$A$2:$C$101,3,FALSE)</f>
        <v>301.45999999999998</v>
      </c>
      <c r="G20" s="21"/>
      <c r="H20" s="47">
        <f t="shared" si="0"/>
        <v>0</v>
      </c>
      <c r="I20" s="24" t="e">
        <f t="shared" si="1"/>
        <v>#DIV/0!</v>
      </c>
      <c r="J20" s="48">
        <v>0</v>
      </c>
      <c r="K20" s="22">
        <f t="shared" si="2"/>
        <v>0</v>
      </c>
      <c r="L20" s="26"/>
      <c r="M20" s="26" t="s">
        <v>309</v>
      </c>
      <c r="N20" s="26"/>
      <c r="O20" s="26"/>
      <c r="P20" s="26"/>
      <c r="Q20" s="26"/>
      <c r="R20" s="26"/>
      <c r="S20" s="26"/>
      <c r="T20" s="33"/>
      <c r="U20" s="33"/>
    </row>
    <row r="21" spans="1:21" x14ac:dyDescent="0.25">
      <c r="A21" s="45">
        <v>0</v>
      </c>
      <c r="B21" s="42"/>
      <c r="C21" s="46"/>
      <c r="D21" s="48"/>
      <c r="E21" s="21" t="s">
        <v>83</v>
      </c>
      <c r="F21" s="22">
        <f>VLOOKUP(E21,'Price indx'!$A$2:$C$101,3,FALSE)</f>
        <v>881.08</v>
      </c>
      <c r="G21" s="21"/>
      <c r="H21" s="47">
        <f t="shared" si="0"/>
        <v>0</v>
      </c>
      <c r="I21" s="24" t="e">
        <f t="shared" si="1"/>
        <v>#DIV/0!</v>
      </c>
      <c r="J21" s="48">
        <v>0</v>
      </c>
      <c r="K21" s="22">
        <f t="shared" si="2"/>
        <v>0</v>
      </c>
      <c r="L21" s="26"/>
      <c r="M21" s="26" t="s">
        <v>310</v>
      </c>
      <c r="N21" s="26"/>
      <c r="O21" s="32"/>
      <c r="P21" s="26"/>
      <c r="Q21" s="26"/>
      <c r="R21" s="26"/>
      <c r="S21" s="26"/>
      <c r="T21" s="33"/>
      <c r="U21" s="33"/>
    </row>
    <row r="22" spans="1:21" x14ac:dyDescent="0.25">
      <c r="A22" s="45">
        <v>0</v>
      </c>
      <c r="B22" s="42"/>
      <c r="C22" s="46"/>
      <c r="D22" s="48"/>
      <c r="E22" s="21" t="s">
        <v>83</v>
      </c>
      <c r="F22" s="22">
        <f>VLOOKUP(E22,'Price indx'!$A$2:$C$101,3,FALSE)</f>
        <v>881.08</v>
      </c>
      <c r="G22" s="21"/>
      <c r="H22" s="47">
        <f t="shared" si="0"/>
        <v>0</v>
      </c>
      <c r="I22" s="24" t="e">
        <f t="shared" si="1"/>
        <v>#DIV/0!</v>
      </c>
      <c r="J22" s="48">
        <v>0</v>
      </c>
      <c r="K22" s="22">
        <f t="shared" si="2"/>
        <v>0</v>
      </c>
      <c r="L22" s="26"/>
      <c r="M22" s="26" t="s">
        <v>311</v>
      </c>
      <c r="N22" s="26"/>
      <c r="O22" s="26"/>
      <c r="P22" s="26"/>
      <c r="Q22" s="26"/>
      <c r="R22" s="26"/>
      <c r="S22" s="26"/>
      <c r="T22" s="33"/>
      <c r="U22" s="33"/>
    </row>
    <row r="23" spans="1:21" x14ac:dyDescent="0.25">
      <c r="A23" s="45">
        <v>0</v>
      </c>
      <c r="B23" s="42"/>
      <c r="C23" s="46"/>
      <c r="D23" s="48"/>
      <c r="E23" s="21" t="s">
        <v>82</v>
      </c>
      <c r="F23" s="22">
        <f>VLOOKUP(E23,'Price indx'!$A$2:$C$101,3,FALSE)</f>
        <v>10705.2</v>
      </c>
      <c r="G23" s="21"/>
      <c r="H23" s="47">
        <f t="shared" si="0"/>
        <v>0</v>
      </c>
      <c r="I23" s="24" t="e">
        <f t="shared" si="1"/>
        <v>#DIV/0!</v>
      </c>
      <c r="J23" s="48">
        <v>0</v>
      </c>
      <c r="K23" s="22">
        <f t="shared" si="2"/>
        <v>0</v>
      </c>
      <c r="L23" s="26"/>
      <c r="M23" s="26" t="s">
        <v>306</v>
      </c>
      <c r="N23" s="26"/>
      <c r="O23" s="26"/>
      <c r="P23" s="26"/>
      <c r="Q23" s="26"/>
      <c r="R23" s="26"/>
      <c r="S23" s="26"/>
      <c r="T23" s="33"/>
      <c r="U23" s="33"/>
    </row>
    <row r="24" spans="1:21" x14ac:dyDescent="0.25">
      <c r="A24" s="45">
        <v>0</v>
      </c>
      <c r="B24" s="42"/>
      <c r="C24" s="46"/>
      <c r="D24" s="48"/>
      <c r="E24" s="21" t="s">
        <v>82</v>
      </c>
      <c r="F24" s="22">
        <f>VLOOKUP(E24,'Price indx'!$A$2:$C$101,3,FALSE)</f>
        <v>10705.2</v>
      </c>
      <c r="G24" s="21"/>
      <c r="H24" s="47">
        <f t="shared" si="0"/>
        <v>0</v>
      </c>
      <c r="I24" s="24" t="e">
        <f t="shared" si="1"/>
        <v>#DIV/0!</v>
      </c>
      <c r="J24" s="48">
        <v>0</v>
      </c>
      <c r="K24" s="22">
        <f t="shared" si="2"/>
        <v>0</v>
      </c>
      <c r="L24" s="26"/>
      <c r="M24" s="26"/>
      <c r="N24" s="26"/>
      <c r="O24" s="26"/>
      <c r="P24" s="26"/>
      <c r="Q24" s="26"/>
      <c r="R24" s="26"/>
      <c r="S24" s="26"/>
      <c r="T24" s="33"/>
      <c r="U24" s="33"/>
    </row>
    <row r="25" spans="1:21" x14ac:dyDescent="0.25">
      <c r="A25" s="45">
        <v>0</v>
      </c>
      <c r="B25" s="42"/>
      <c r="C25" s="46"/>
      <c r="D25" s="48"/>
      <c r="E25" s="21" t="s">
        <v>83</v>
      </c>
      <c r="F25" s="22">
        <f>VLOOKUP(E25,'Price indx'!$A$2:$C$101,3,FALSE)</f>
        <v>881.08</v>
      </c>
      <c r="G25" s="21"/>
      <c r="H25" s="47">
        <f t="shared" si="0"/>
        <v>0</v>
      </c>
      <c r="I25" s="24" t="e">
        <f t="shared" si="1"/>
        <v>#DIV/0!</v>
      </c>
      <c r="J25" s="48">
        <v>0</v>
      </c>
      <c r="K25" s="22">
        <f t="shared" si="2"/>
        <v>0</v>
      </c>
      <c r="L25" s="26"/>
      <c r="M25" s="26"/>
      <c r="N25" s="26"/>
      <c r="O25" s="26"/>
      <c r="P25" s="26"/>
      <c r="Q25" s="26"/>
      <c r="R25" s="26"/>
      <c r="S25" s="26"/>
      <c r="T25" s="33"/>
      <c r="U25" s="33"/>
    </row>
    <row r="26" spans="1:21" x14ac:dyDescent="0.25">
      <c r="A26" s="45">
        <v>0</v>
      </c>
      <c r="B26" s="42"/>
      <c r="C26" s="46"/>
      <c r="D26" s="48"/>
      <c r="E26" s="21" t="s">
        <v>83</v>
      </c>
      <c r="F26" s="22">
        <f>VLOOKUP(E26,'Price indx'!$A$2:$C$101,3,FALSE)</f>
        <v>881.08</v>
      </c>
      <c r="G26" s="21"/>
      <c r="H26" s="47">
        <f t="shared" si="0"/>
        <v>0</v>
      </c>
      <c r="I26" s="24" t="e">
        <f t="shared" si="1"/>
        <v>#DIV/0!</v>
      </c>
      <c r="J26" s="48">
        <v>0</v>
      </c>
      <c r="K26" s="22">
        <f t="shared" si="2"/>
        <v>0</v>
      </c>
      <c r="L26" s="26"/>
      <c r="M26" s="26"/>
      <c r="N26" s="26"/>
      <c r="O26" s="26"/>
      <c r="P26" s="26"/>
      <c r="Q26" s="26"/>
      <c r="R26" s="26"/>
      <c r="S26" s="26"/>
      <c r="T26" s="33"/>
      <c r="U26" s="33"/>
    </row>
    <row r="27" spans="1:21" x14ac:dyDescent="0.25">
      <c r="A27" s="45">
        <v>0</v>
      </c>
      <c r="B27" s="42"/>
      <c r="C27" s="46"/>
      <c r="D27" s="48"/>
      <c r="E27" s="21" t="s">
        <v>83</v>
      </c>
      <c r="F27" s="22">
        <f>VLOOKUP(E27,'Price indx'!$A$2:$C$101,3,FALSE)</f>
        <v>881.08</v>
      </c>
      <c r="G27" s="21"/>
      <c r="H27" s="47">
        <f t="shared" si="0"/>
        <v>0</v>
      </c>
      <c r="I27" s="24" t="e">
        <f t="shared" si="1"/>
        <v>#DIV/0!</v>
      </c>
      <c r="J27" s="48">
        <v>0</v>
      </c>
      <c r="K27" s="22">
        <f t="shared" si="2"/>
        <v>0</v>
      </c>
      <c r="L27" s="26"/>
      <c r="M27" s="26"/>
      <c r="N27" s="26"/>
      <c r="O27" s="26"/>
      <c r="P27" s="26"/>
      <c r="Q27" s="26"/>
      <c r="R27" s="26"/>
      <c r="S27" s="26"/>
      <c r="T27" s="33"/>
      <c r="U27" s="33"/>
    </row>
    <row r="28" spans="1:21" x14ac:dyDescent="0.25">
      <c r="A28" s="45">
        <v>0</v>
      </c>
      <c r="B28" s="42"/>
      <c r="C28" s="46"/>
      <c r="D28" s="48"/>
      <c r="E28" s="21" t="s">
        <v>86</v>
      </c>
      <c r="F28" s="22">
        <f>VLOOKUP(E28,'Price indx'!$A$2:$C$101,3,FALSE)</f>
        <v>217.35</v>
      </c>
      <c r="G28" s="21"/>
      <c r="H28" s="47">
        <f t="shared" si="0"/>
        <v>0</v>
      </c>
      <c r="I28" s="24" t="e">
        <f t="shared" si="1"/>
        <v>#DIV/0!</v>
      </c>
      <c r="J28" s="48">
        <v>0</v>
      </c>
      <c r="K28" s="22">
        <f t="shared" si="2"/>
        <v>0</v>
      </c>
      <c r="L28" s="26"/>
      <c r="M28" s="26"/>
      <c r="N28" s="26"/>
      <c r="O28" s="26"/>
      <c r="P28" s="26"/>
      <c r="Q28" s="26"/>
      <c r="R28" s="26"/>
      <c r="S28" s="26"/>
      <c r="T28" s="33"/>
      <c r="U28" s="33"/>
    </row>
    <row r="29" spans="1:21" x14ac:dyDescent="0.25">
      <c r="A29" s="45">
        <v>0</v>
      </c>
      <c r="B29" s="42"/>
      <c r="C29" s="46"/>
      <c r="D29" s="48"/>
      <c r="E29" s="21" t="s">
        <v>84</v>
      </c>
      <c r="F29" s="22">
        <f>VLOOKUP(E29,'Price indx'!$A$2:$C$101,3,FALSE)</f>
        <v>0.95271099999999997</v>
      </c>
      <c r="G29" s="21"/>
      <c r="H29" s="47">
        <f t="shared" si="0"/>
        <v>0</v>
      </c>
      <c r="I29" s="24" t="e">
        <f t="shared" si="1"/>
        <v>#DIV/0!</v>
      </c>
      <c r="J29" s="48">
        <v>0</v>
      </c>
      <c r="K29" s="22">
        <f t="shared" si="2"/>
        <v>0</v>
      </c>
      <c r="L29" s="26"/>
      <c r="M29" s="26"/>
      <c r="N29" s="26"/>
      <c r="O29" s="26"/>
      <c r="P29" s="26"/>
      <c r="Q29" s="26"/>
      <c r="R29" s="26"/>
      <c r="S29" s="26"/>
      <c r="T29" s="33"/>
      <c r="U29" s="33"/>
    </row>
    <row r="30" spans="1:21" x14ac:dyDescent="0.25">
      <c r="A30" s="45">
        <v>0</v>
      </c>
      <c r="B30" s="42"/>
      <c r="C30" s="46"/>
      <c r="D30" s="48"/>
      <c r="E30" s="21" t="s">
        <v>83</v>
      </c>
      <c r="F30" s="22">
        <f>VLOOKUP(E30,'Price indx'!$A$2:$C$101,3,FALSE)</f>
        <v>881.08</v>
      </c>
      <c r="G30" s="21"/>
      <c r="H30" s="47">
        <f t="shared" si="0"/>
        <v>0</v>
      </c>
      <c r="I30" s="24" t="e">
        <f t="shared" si="1"/>
        <v>#DIV/0!</v>
      </c>
      <c r="J30" s="48">
        <v>0</v>
      </c>
      <c r="K30" s="22">
        <f t="shared" si="2"/>
        <v>0</v>
      </c>
      <c r="L30" s="26"/>
      <c r="M30" s="26"/>
      <c r="N30" s="26"/>
      <c r="O30" s="26"/>
      <c r="P30" s="26"/>
      <c r="Q30" s="26"/>
      <c r="R30" s="26"/>
      <c r="S30" s="26"/>
      <c r="T30" s="33"/>
      <c r="U30" s="33"/>
    </row>
    <row r="31" spans="1:21" x14ac:dyDescent="0.25">
      <c r="A31" s="45">
        <v>0</v>
      </c>
      <c r="B31" s="42"/>
      <c r="C31" s="46"/>
      <c r="D31" s="48"/>
      <c r="E31" s="21" t="s">
        <v>83</v>
      </c>
      <c r="F31" s="22">
        <f>VLOOKUP(E31,'Price indx'!$A$2:$C$101,3,FALSE)</f>
        <v>881.08</v>
      </c>
      <c r="G31" s="21"/>
      <c r="H31" s="47">
        <f t="shared" si="0"/>
        <v>0</v>
      </c>
      <c r="I31" s="24" t="e">
        <f t="shared" si="1"/>
        <v>#DIV/0!</v>
      </c>
      <c r="J31" s="48">
        <v>0</v>
      </c>
      <c r="K31" s="22">
        <f t="shared" si="2"/>
        <v>0</v>
      </c>
      <c r="L31" s="26"/>
      <c r="M31" s="26"/>
      <c r="N31" s="32"/>
      <c r="O31" s="26"/>
      <c r="P31" s="26"/>
      <c r="Q31" s="26"/>
      <c r="R31" s="26"/>
      <c r="S31" s="26"/>
      <c r="T31" s="33"/>
      <c r="U31" s="33"/>
    </row>
    <row r="32" spans="1:21" x14ac:dyDescent="0.25">
      <c r="A32" s="45">
        <v>0</v>
      </c>
      <c r="B32" s="42"/>
      <c r="C32" s="46"/>
      <c r="D32" s="48"/>
      <c r="E32" s="21" t="s">
        <v>83</v>
      </c>
      <c r="F32" s="22">
        <f>VLOOKUP(E32,'Price indx'!$A$2:$C$101,3,FALSE)</f>
        <v>881.08</v>
      </c>
      <c r="G32" s="21"/>
      <c r="H32" s="47">
        <f t="shared" si="0"/>
        <v>0</v>
      </c>
      <c r="I32" s="24" t="e">
        <f t="shared" si="1"/>
        <v>#DIV/0!</v>
      </c>
      <c r="J32" s="48">
        <v>0</v>
      </c>
      <c r="K32" s="22">
        <f t="shared" si="2"/>
        <v>0</v>
      </c>
      <c r="L32" s="26"/>
      <c r="M32" s="26"/>
      <c r="N32" s="32"/>
      <c r="O32" s="26"/>
      <c r="P32" s="26"/>
      <c r="Q32" s="26"/>
      <c r="R32" s="26"/>
      <c r="S32" s="26"/>
      <c r="T32" s="33"/>
      <c r="U32" s="33"/>
    </row>
    <row r="33" spans="1:21" x14ac:dyDescent="0.25">
      <c r="A33" s="45">
        <v>0</v>
      </c>
      <c r="B33" s="42"/>
      <c r="C33" s="46"/>
      <c r="D33" s="48"/>
      <c r="E33" s="21" t="s">
        <v>83</v>
      </c>
      <c r="F33" s="22">
        <f>VLOOKUP(E33,'Price indx'!$A$2:$C$101,3,FALSE)</f>
        <v>881.08</v>
      </c>
      <c r="G33" s="21"/>
      <c r="H33" s="47">
        <f t="shared" si="0"/>
        <v>0</v>
      </c>
      <c r="I33" s="24" t="e">
        <f t="shared" si="1"/>
        <v>#DIV/0!</v>
      </c>
      <c r="J33" s="48">
        <v>0</v>
      </c>
      <c r="K33" s="22">
        <f t="shared" si="2"/>
        <v>0</v>
      </c>
      <c r="L33" s="26"/>
      <c r="M33" s="26"/>
      <c r="N33" s="32"/>
      <c r="O33" s="26"/>
      <c r="P33" s="26"/>
      <c r="Q33" s="26"/>
      <c r="R33" s="26"/>
      <c r="S33" s="26"/>
      <c r="T33" s="33"/>
      <c r="U33" s="33"/>
    </row>
    <row r="34" spans="1:21" x14ac:dyDescent="0.25">
      <c r="A34" s="45">
        <v>0</v>
      </c>
      <c r="B34" s="42"/>
      <c r="C34" s="46"/>
      <c r="D34" s="48"/>
      <c r="E34" s="21" t="s">
        <v>84</v>
      </c>
      <c r="F34" s="22">
        <f>VLOOKUP(E34,'Price indx'!$A$2:$C$101,3,FALSE)</f>
        <v>0.95271099999999997</v>
      </c>
      <c r="G34" s="21"/>
      <c r="H34" s="47">
        <f t="shared" si="0"/>
        <v>0</v>
      </c>
      <c r="I34" s="24" t="e">
        <f t="shared" si="1"/>
        <v>#DIV/0!</v>
      </c>
      <c r="J34" s="48">
        <v>0</v>
      </c>
      <c r="K34" s="22">
        <f t="shared" si="2"/>
        <v>0</v>
      </c>
      <c r="L34" s="26"/>
      <c r="M34" s="26"/>
      <c r="N34" s="32"/>
      <c r="O34" s="26"/>
      <c r="P34" s="26"/>
      <c r="Q34" s="26"/>
      <c r="R34" s="26"/>
      <c r="S34" s="26"/>
      <c r="T34" s="33"/>
      <c r="U34" s="33"/>
    </row>
    <row r="35" spans="1:21" x14ac:dyDescent="0.25">
      <c r="A35" s="45">
        <v>0</v>
      </c>
      <c r="B35" s="42"/>
      <c r="C35" s="46"/>
      <c r="D35" s="48"/>
      <c r="E35" s="21" t="s">
        <v>83</v>
      </c>
      <c r="F35" s="22">
        <f>VLOOKUP(E35,'Price indx'!$A$2:$C$101,3,FALSE)</f>
        <v>881.08</v>
      </c>
      <c r="G35" s="21"/>
      <c r="H35" s="47">
        <f t="shared" si="0"/>
        <v>0</v>
      </c>
      <c r="I35" s="24" t="e">
        <f t="shared" si="1"/>
        <v>#DIV/0!</v>
      </c>
      <c r="J35" s="48">
        <v>0</v>
      </c>
      <c r="K35" s="22">
        <f t="shared" si="2"/>
        <v>0</v>
      </c>
      <c r="L35" s="26"/>
      <c r="M35" s="26"/>
      <c r="N35" s="26"/>
      <c r="O35" s="26"/>
      <c r="P35" s="26"/>
      <c r="Q35" s="26"/>
      <c r="R35" s="26"/>
      <c r="S35" s="26"/>
      <c r="T35" s="33"/>
      <c r="U35" s="33"/>
    </row>
    <row r="36" spans="1:21" x14ac:dyDescent="0.25">
      <c r="A36" s="45">
        <v>0</v>
      </c>
      <c r="B36" s="42"/>
      <c r="C36" s="46"/>
      <c r="D36" s="48"/>
      <c r="E36" s="21" t="s">
        <v>84</v>
      </c>
      <c r="F36" s="22">
        <f>VLOOKUP(E36,'Price indx'!$A$2:$C$101,3,FALSE)</f>
        <v>0.95271099999999997</v>
      </c>
      <c r="G36" s="21"/>
      <c r="H36" s="47">
        <f t="shared" si="0"/>
        <v>0</v>
      </c>
      <c r="I36" s="24" t="e">
        <f t="shared" si="1"/>
        <v>#DIV/0!</v>
      </c>
      <c r="J36" s="48">
        <v>0</v>
      </c>
      <c r="K36" s="22">
        <f t="shared" si="2"/>
        <v>0</v>
      </c>
      <c r="L36" s="26"/>
      <c r="M36" s="26"/>
      <c r="N36" s="26"/>
      <c r="O36" s="26"/>
      <c r="P36" s="26"/>
      <c r="Q36" s="26"/>
      <c r="R36" s="26"/>
      <c r="S36" s="26"/>
      <c r="T36" s="33"/>
      <c r="U36" s="33"/>
    </row>
    <row r="37" spans="1:21" x14ac:dyDescent="0.25">
      <c r="A37" s="45">
        <v>0</v>
      </c>
      <c r="B37" s="42"/>
      <c r="C37" s="46"/>
      <c r="D37" s="48"/>
      <c r="E37" s="21" t="s">
        <v>84</v>
      </c>
      <c r="F37" s="22">
        <f>VLOOKUP(E37,'Price indx'!$A$2:$C$101,3,FALSE)</f>
        <v>0.95271099999999997</v>
      </c>
      <c r="G37" s="21"/>
      <c r="H37" s="47">
        <f t="shared" si="0"/>
        <v>0</v>
      </c>
      <c r="I37" s="24" t="e">
        <f t="shared" si="1"/>
        <v>#DIV/0!</v>
      </c>
      <c r="J37" s="48">
        <v>0</v>
      </c>
      <c r="K37" s="22">
        <f t="shared" si="2"/>
        <v>0</v>
      </c>
      <c r="L37" s="26"/>
      <c r="M37" s="26"/>
      <c r="N37" s="26"/>
      <c r="O37" s="26"/>
      <c r="P37" s="26"/>
      <c r="Q37" s="26"/>
      <c r="R37" s="26"/>
      <c r="S37" s="26"/>
      <c r="T37" s="33"/>
      <c r="U37" s="33"/>
    </row>
    <row r="38" spans="1:21" x14ac:dyDescent="0.25">
      <c r="A38" s="45">
        <v>0</v>
      </c>
      <c r="B38" s="42"/>
      <c r="C38" s="46"/>
      <c r="D38" s="48"/>
      <c r="E38" s="21" t="s">
        <v>86</v>
      </c>
      <c r="F38" s="22">
        <f>VLOOKUP(E38,'Price indx'!$A$2:$C$101,3,FALSE)</f>
        <v>217.35</v>
      </c>
      <c r="G38" s="21"/>
      <c r="H38" s="47">
        <f t="shared" si="0"/>
        <v>0</v>
      </c>
      <c r="I38" s="24" t="e">
        <f t="shared" si="1"/>
        <v>#DIV/0!</v>
      </c>
      <c r="J38" s="48">
        <v>0</v>
      </c>
      <c r="K38" s="22">
        <f t="shared" si="2"/>
        <v>0</v>
      </c>
      <c r="L38" s="26"/>
      <c r="M38" s="26"/>
      <c r="N38" s="26"/>
      <c r="O38" s="26"/>
      <c r="P38" s="26"/>
      <c r="Q38" s="26"/>
      <c r="R38" s="26"/>
      <c r="S38" s="26"/>
      <c r="T38" s="33"/>
      <c r="U38" s="33"/>
    </row>
    <row r="39" spans="1:21" x14ac:dyDescent="0.25">
      <c r="A39" s="45">
        <v>0</v>
      </c>
      <c r="B39" s="42"/>
      <c r="C39" s="46"/>
      <c r="D39" s="48"/>
      <c r="E39" s="21" t="s">
        <v>86</v>
      </c>
      <c r="F39" s="22">
        <f>VLOOKUP(E39,'Price indx'!$A$2:$C$101,3,FALSE)</f>
        <v>217.35</v>
      </c>
      <c r="G39" s="21"/>
      <c r="H39" s="47">
        <f t="shared" si="0"/>
        <v>0</v>
      </c>
      <c r="I39" s="24" t="e">
        <f t="shared" si="1"/>
        <v>#DIV/0!</v>
      </c>
      <c r="J39" s="48">
        <v>0</v>
      </c>
      <c r="K39" s="22">
        <f t="shared" si="2"/>
        <v>0</v>
      </c>
      <c r="L39" s="26"/>
      <c r="M39" s="26"/>
      <c r="N39" s="26"/>
      <c r="O39" s="26"/>
      <c r="P39" s="26"/>
      <c r="Q39" s="26"/>
      <c r="R39" s="26"/>
      <c r="S39" s="26"/>
      <c r="T39" s="33"/>
      <c r="U39" s="33"/>
    </row>
    <row r="40" spans="1:21" x14ac:dyDescent="0.25">
      <c r="A40" s="45">
        <v>0</v>
      </c>
      <c r="B40" s="42"/>
      <c r="C40" s="46"/>
      <c r="D40" s="48"/>
      <c r="E40" s="21" t="s">
        <v>83</v>
      </c>
      <c r="F40" s="22">
        <f>VLOOKUP(E40,'Price indx'!$A$2:$C$101,3,FALSE)</f>
        <v>881.08</v>
      </c>
      <c r="G40" s="21"/>
      <c r="H40" s="47">
        <f t="shared" si="0"/>
        <v>0</v>
      </c>
      <c r="I40" s="24" t="e">
        <f t="shared" si="1"/>
        <v>#DIV/0!</v>
      </c>
      <c r="J40" s="48">
        <v>0</v>
      </c>
      <c r="K40" s="22">
        <f t="shared" si="2"/>
        <v>0</v>
      </c>
      <c r="L40" s="26"/>
      <c r="M40" s="26"/>
      <c r="N40" s="26"/>
      <c r="O40" s="26"/>
      <c r="P40" s="26"/>
      <c r="Q40" s="26"/>
      <c r="R40" s="26"/>
      <c r="S40" s="26"/>
      <c r="T40" s="33"/>
      <c r="U40" s="33"/>
    </row>
    <row r="41" spans="1:21" x14ac:dyDescent="0.25">
      <c r="A41" s="45">
        <v>0</v>
      </c>
      <c r="B41" s="42"/>
      <c r="C41" s="46"/>
      <c r="D41" s="48"/>
      <c r="E41" s="21" t="s">
        <v>88</v>
      </c>
      <c r="F41" s="22">
        <f>VLOOKUP(E41,'Price indx'!$A$2:$C$101,3,FALSE)</f>
        <v>0.36030899999999999</v>
      </c>
      <c r="G41" s="21"/>
      <c r="H41" s="47">
        <f t="shared" si="0"/>
        <v>0</v>
      </c>
      <c r="I41" s="24" t="e">
        <f t="shared" si="1"/>
        <v>#DIV/0!</v>
      </c>
      <c r="J41" s="48">
        <v>0</v>
      </c>
      <c r="K41" s="22">
        <f t="shared" si="2"/>
        <v>0</v>
      </c>
      <c r="L41" s="26"/>
      <c r="M41" s="32"/>
      <c r="N41" s="26"/>
      <c r="O41" s="26"/>
      <c r="P41" s="26"/>
      <c r="Q41" s="26"/>
      <c r="R41" s="26"/>
      <c r="S41" s="26"/>
      <c r="T41" s="33"/>
      <c r="U41" s="33"/>
    </row>
    <row r="42" spans="1:21" x14ac:dyDescent="0.25">
      <c r="A42" s="45">
        <v>0</v>
      </c>
      <c r="B42" s="42"/>
      <c r="C42" s="46"/>
      <c r="D42" s="48"/>
      <c r="E42" s="21" t="s">
        <v>83</v>
      </c>
      <c r="F42" s="22">
        <f>VLOOKUP(E42,'Price indx'!$A$2:$C$101,3,FALSE)</f>
        <v>881.08</v>
      </c>
      <c r="G42" s="21"/>
      <c r="H42" s="47">
        <f t="shared" si="0"/>
        <v>0</v>
      </c>
      <c r="I42" s="24" t="e">
        <f t="shared" si="1"/>
        <v>#DIV/0!</v>
      </c>
      <c r="J42" s="48">
        <v>0</v>
      </c>
      <c r="K42" s="22">
        <f t="shared" si="2"/>
        <v>0</v>
      </c>
      <c r="L42" s="26"/>
      <c r="M42" s="32"/>
      <c r="N42" s="26"/>
      <c r="O42" s="26"/>
      <c r="P42" s="26"/>
      <c r="Q42" s="26"/>
      <c r="R42" s="26"/>
      <c r="S42" s="26"/>
      <c r="T42" s="33"/>
      <c r="U42" s="33"/>
    </row>
    <row r="43" spans="1:21" x14ac:dyDescent="0.25">
      <c r="A43" s="45">
        <v>0</v>
      </c>
      <c r="B43" s="42"/>
      <c r="C43" s="46"/>
      <c r="D43" s="48"/>
      <c r="E43" s="21" t="s">
        <v>88</v>
      </c>
      <c r="F43" s="22">
        <f>VLOOKUP(E43,'Price indx'!$A$2:$C$101,3,FALSE)</f>
        <v>0.36030899999999999</v>
      </c>
      <c r="G43" s="21"/>
      <c r="H43" s="47">
        <f t="shared" si="0"/>
        <v>0</v>
      </c>
      <c r="I43" s="24" t="e">
        <f t="shared" si="1"/>
        <v>#DIV/0!</v>
      </c>
      <c r="J43" s="48">
        <v>0</v>
      </c>
      <c r="K43" s="22">
        <f t="shared" si="2"/>
        <v>0</v>
      </c>
      <c r="L43" s="26"/>
      <c r="M43" s="32"/>
      <c r="N43" s="26"/>
      <c r="O43" s="26"/>
      <c r="P43" s="26"/>
      <c r="Q43" s="26"/>
      <c r="R43" s="26"/>
      <c r="S43" s="26"/>
      <c r="T43" s="33"/>
      <c r="U43" s="33"/>
    </row>
    <row r="44" spans="1:21" x14ac:dyDescent="0.25">
      <c r="A44" s="45">
        <v>0</v>
      </c>
      <c r="B44" s="42"/>
      <c r="C44" s="46"/>
      <c r="D44" s="48"/>
      <c r="E44" s="21" t="s">
        <v>83</v>
      </c>
      <c r="F44" s="22">
        <f>VLOOKUP(E44,'Price indx'!$A$2:$C$101,3,FALSE)</f>
        <v>881.08</v>
      </c>
      <c r="G44" s="21"/>
      <c r="H44" s="47">
        <f t="shared" si="0"/>
        <v>0</v>
      </c>
      <c r="I44" s="24" t="e">
        <f t="shared" si="1"/>
        <v>#DIV/0!</v>
      </c>
      <c r="J44" s="48">
        <v>0</v>
      </c>
      <c r="K44" s="22">
        <f>IF(A44=0,(C44),(0))</f>
        <v>0</v>
      </c>
      <c r="L44" s="9"/>
      <c r="M44" s="9"/>
      <c r="N44" s="9"/>
      <c r="O44" s="9"/>
      <c r="P44" s="9"/>
      <c r="Q44" s="9"/>
      <c r="R44" s="9"/>
      <c r="S44" s="9"/>
      <c r="T44" s="8"/>
      <c r="U44" s="8"/>
    </row>
    <row r="45" spans="1:21" x14ac:dyDescent="0.25">
      <c r="A45" s="45">
        <v>0</v>
      </c>
      <c r="B45" s="42"/>
      <c r="C45" s="46"/>
      <c r="D45" s="48"/>
      <c r="E45" s="21" t="s">
        <v>83</v>
      </c>
      <c r="F45" s="22">
        <f>VLOOKUP(E45,'Price indx'!$A$2:$C$101,3,FALSE)</f>
        <v>881.08</v>
      </c>
      <c r="G45" s="21"/>
      <c r="H45" s="47">
        <f t="shared" si="0"/>
        <v>0</v>
      </c>
      <c r="I45" s="24" t="e">
        <f t="shared" si="1"/>
        <v>#DIV/0!</v>
      </c>
      <c r="J45" s="48">
        <v>0</v>
      </c>
      <c r="K45" s="22">
        <f>IF(A45=0,(C45),(0))</f>
        <v>0</v>
      </c>
      <c r="L45" s="26"/>
      <c r="M45" s="26"/>
      <c r="N45" s="26"/>
      <c r="O45" s="26"/>
      <c r="P45" s="26"/>
      <c r="Q45" s="26"/>
      <c r="R45" s="26"/>
      <c r="S45" s="26"/>
      <c r="T45" s="8"/>
      <c r="U45" s="8"/>
    </row>
    <row r="46" spans="1:21" x14ac:dyDescent="0.25">
      <c r="A46" s="45">
        <v>0</v>
      </c>
      <c r="B46" s="42"/>
      <c r="C46" s="46"/>
      <c r="D46" s="48"/>
      <c r="E46" s="21" t="s">
        <v>83</v>
      </c>
      <c r="F46" s="22">
        <f>VLOOKUP(E46,'Price indx'!$A$2:$C$101,3,FALSE)</f>
        <v>881.08</v>
      </c>
      <c r="G46" s="21"/>
      <c r="H46" s="47">
        <f t="shared" si="0"/>
        <v>0</v>
      </c>
      <c r="I46" s="24" t="e">
        <f t="shared" si="1"/>
        <v>#DIV/0!</v>
      </c>
      <c r="J46" s="48">
        <v>0</v>
      </c>
      <c r="K46" s="22">
        <f t="shared" si="2"/>
        <v>0</v>
      </c>
      <c r="L46" s="9"/>
      <c r="M46" s="9"/>
      <c r="N46" s="9"/>
      <c r="O46" s="9"/>
      <c r="P46" s="9"/>
      <c r="Q46" s="9"/>
      <c r="R46" s="9"/>
      <c r="S46" s="9"/>
      <c r="T46" s="8"/>
      <c r="U46" s="8"/>
    </row>
    <row r="47" spans="1:21" x14ac:dyDescent="0.25">
      <c r="A47" s="45">
        <v>0</v>
      </c>
      <c r="B47" s="42"/>
      <c r="C47" s="46"/>
      <c r="D47" s="48"/>
      <c r="E47" s="21" t="s">
        <v>83</v>
      </c>
      <c r="F47" s="22">
        <f>VLOOKUP(E47,'Price indx'!$A$2:$C$101,3,FALSE)</f>
        <v>881.08</v>
      </c>
      <c r="G47" s="21"/>
      <c r="H47" s="47">
        <f t="shared" si="0"/>
        <v>0</v>
      </c>
      <c r="I47" s="24" t="e">
        <f t="shared" si="1"/>
        <v>#DIV/0!</v>
      </c>
      <c r="J47" s="48">
        <v>0</v>
      </c>
      <c r="K47" s="22">
        <f t="shared" si="2"/>
        <v>0</v>
      </c>
      <c r="L47" s="26"/>
      <c r="M47" s="26"/>
      <c r="N47" s="26"/>
      <c r="O47" s="26"/>
      <c r="P47" s="26"/>
      <c r="Q47" s="26"/>
      <c r="R47" s="26"/>
      <c r="S47" s="26"/>
      <c r="T47" s="8"/>
      <c r="U47" s="8"/>
    </row>
    <row r="48" spans="1:21" x14ac:dyDescent="0.25">
      <c r="A48" s="45">
        <v>0</v>
      </c>
      <c r="B48" s="42"/>
      <c r="C48" s="46"/>
      <c r="D48" s="48"/>
      <c r="E48" s="21" t="s">
        <v>83</v>
      </c>
      <c r="F48" s="22">
        <f>VLOOKUP(E48,'Price indx'!$A$2:$C$101,3,FALSE)</f>
        <v>881.08</v>
      </c>
      <c r="G48" s="21"/>
      <c r="H48" s="47">
        <f t="shared" si="0"/>
        <v>0</v>
      </c>
      <c r="I48" s="24" t="e">
        <f t="shared" si="1"/>
        <v>#DIV/0!</v>
      </c>
      <c r="J48" s="48">
        <v>0</v>
      </c>
      <c r="K48" s="22">
        <f t="shared" si="2"/>
        <v>0</v>
      </c>
      <c r="L48" s="9"/>
      <c r="M48" s="9"/>
      <c r="N48" s="9"/>
      <c r="O48" s="9"/>
      <c r="P48" s="9"/>
      <c r="Q48" s="9"/>
      <c r="R48" s="9"/>
      <c r="S48" s="9"/>
      <c r="T48" s="8"/>
      <c r="U48" s="8"/>
    </row>
    <row r="49" spans="1:34" x14ac:dyDescent="0.25">
      <c r="A49" s="45">
        <v>0</v>
      </c>
      <c r="B49" s="42"/>
      <c r="C49" s="46"/>
      <c r="D49" s="48"/>
      <c r="E49" s="21" t="s">
        <v>83</v>
      </c>
      <c r="F49" s="22">
        <f>VLOOKUP(E49,'Price indx'!$A$2:$C$101,3,FALSE)</f>
        <v>881.08</v>
      </c>
      <c r="G49" s="21"/>
      <c r="H49" s="47">
        <f t="shared" si="0"/>
        <v>0</v>
      </c>
      <c r="I49" s="24" t="e">
        <f t="shared" si="1"/>
        <v>#DIV/0!</v>
      </c>
      <c r="J49" s="48">
        <v>0</v>
      </c>
      <c r="K49" s="22">
        <f t="shared" si="2"/>
        <v>0</v>
      </c>
      <c r="L49" s="26"/>
      <c r="M49" s="26"/>
      <c r="N49" s="26"/>
      <c r="O49" s="26"/>
      <c r="P49" s="26"/>
      <c r="Q49" s="26"/>
      <c r="R49" s="26"/>
      <c r="S49" s="26"/>
      <c r="T49" s="8"/>
      <c r="U49" s="8"/>
    </row>
    <row r="50" spans="1:34" x14ac:dyDescent="0.25">
      <c r="A50" s="45">
        <v>0</v>
      </c>
      <c r="B50" s="42"/>
      <c r="C50" s="46"/>
      <c r="D50" s="48"/>
      <c r="E50" s="21" t="s">
        <v>137</v>
      </c>
      <c r="F50" s="22">
        <f>VLOOKUP(E50,'Price indx'!$A$2:$C$101,3,FALSE)</f>
        <v>0.36448199999999997</v>
      </c>
      <c r="G50" s="21"/>
      <c r="H50" s="47">
        <f t="shared" si="0"/>
        <v>0</v>
      </c>
      <c r="I50" s="24" t="e">
        <f t="shared" si="1"/>
        <v>#DIV/0!</v>
      </c>
      <c r="J50" s="48">
        <v>0</v>
      </c>
      <c r="K50" s="22">
        <f t="shared" si="2"/>
        <v>0</v>
      </c>
      <c r="L50" s="9"/>
      <c r="M50" s="9"/>
      <c r="N50" s="9"/>
      <c r="O50" s="9"/>
      <c r="P50" s="9"/>
      <c r="Q50" s="9"/>
      <c r="R50" s="9"/>
      <c r="S50" s="9"/>
      <c r="T50" s="8"/>
      <c r="U50" s="8"/>
    </row>
    <row r="51" spans="1:34" x14ac:dyDescent="0.25">
      <c r="A51" s="45">
        <v>0</v>
      </c>
      <c r="B51" s="42"/>
      <c r="C51" s="46"/>
      <c r="D51" s="48"/>
      <c r="E51" s="21" t="s">
        <v>125</v>
      </c>
      <c r="F51" s="22">
        <f>VLOOKUP(E51,'Price indx'!$A$2:$C$101,3,FALSE)</f>
        <v>1.01</v>
      </c>
      <c r="G51" s="21"/>
      <c r="H51" s="47">
        <f t="shared" si="0"/>
        <v>0</v>
      </c>
      <c r="I51" s="24" t="e">
        <f t="shared" si="1"/>
        <v>#DIV/0!</v>
      </c>
      <c r="J51" s="48">
        <v>0</v>
      </c>
      <c r="K51" s="22">
        <f t="shared" si="2"/>
        <v>0</v>
      </c>
      <c r="L51" s="26"/>
      <c r="M51" s="26"/>
      <c r="N51" s="26"/>
      <c r="O51" s="26"/>
      <c r="P51" s="26"/>
      <c r="Q51" s="26"/>
      <c r="R51" s="26"/>
      <c r="S51" s="26"/>
      <c r="T51" s="8"/>
      <c r="U51" s="8"/>
    </row>
    <row r="52" spans="1:34" x14ac:dyDescent="0.25">
      <c r="A52" s="45">
        <v>0</v>
      </c>
      <c r="B52" s="42"/>
      <c r="C52" s="46"/>
      <c r="D52" s="48"/>
      <c r="E52" s="21" t="s">
        <v>83</v>
      </c>
      <c r="F52" s="22">
        <f>VLOOKUP(E52,'Price indx'!$A$2:$C$101,3,FALSE)</f>
        <v>881.08</v>
      </c>
      <c r="G52" s="21"/>
      <c r="H52" s="47">
        <f t="shared" si="0"/>
        <v>0</v>
      </c>
      <c r="I52" s="24" t="e">
        <f t="shared" si="1"/>
        <v>#DIV/0!</v>
      </c>
      <c r="J52" s="48">
        <v>0</v>
      </c>
      <c r="K52" s="22">
        <f t="shared" ref="K52" si="4">IF(A52=0,(C52),(0))</f>
        <v>0</v>
      </c>
      <c r="L52" s="9"/>
      <c r="M52" s="9"/>
      <c r="N52" s="9"/>
      <c r="O52" s="9"/>
      <c r="P52" s="9"/>
      <c r="Q52" s="9"/>
      <c r="R52" s="9"/>
      <c r="S52" s="9"/>
      <c r="T52" s="8"/>
      <c r="U52" s="8"/>
    </row>
    <row r="53" spans="1:34" x14ac:dyDescent="0.25">
      <c r="A53" s="45">
        <v>0</v>
      </c>
      <c r="B53" s="42"/>
      <c r="C53" s="46"/>
      <c r="D53" s="48"/>
      <c r="E53" s="21" t="s">
        <v>88</v>
      </c>
      <c r="F53" s="22">
        <f>VLOOKUP(E53,'Price indx'!$A$2:$C$101,3,FALSE)</f>
        <v>0.36030899999999999</v>
      </c>
      <c r="G53" s="21"/>
      <c r="H53" s="47">
        <f t="shared" si="0"/>
        <v>0</v>
      </c>
      <c r="I53" s="24" t="e">
        <f t="shared" si="1"/>
        <v>#DIV/0!</v>
      </c>
      <c r="J53" s="48">
        <v>0</v>
      </c>
      <c r="K53" s="22">
        <f t="shared" si="2"/>
        <v>0</v>
      </c>
      <c r="L53" s="26"/>
      <c r="M53" s="26"/>
      <c r="N53" s="26"/>
      <c r="O53" s="26"/>
      <c r="P53" s="26"/>
      <c r="Q53" s="26"/>
      <c r="R53" s="26"/>
      <c r="S53" s="26"/>
      <c r="T53" s="8"/>
      <c r="U53" s="8"/>
    </row>
    <row r="54" spans="1:34" x14ac:dyDescent="0.25">
      <c r="A54" s="45">
        <v>0</v>
      </c>
      <c r="B54" s="42"/>
      <c r="C54" s="46"/>
      <c r="D54" s="48"/>
      <c r="E54" s="21" t="s">
        <v>83</v>
      </c>
      <c r="F54" s="22">
        <f>VLOOKUP(E54,'Price indx'!$A$2:$C$101,3,FALSE)</f>
        <v>881.08</v>
      </c>
      <c r="G54" s="21"/>
      <c r="H54" s="47">
        <f t="shared" si="0"/>
        <v>0</v>
      </c>
      <c r="I54" s="24" t="e">
        <f t="shared" si="1"/>
        <v>#DIV/0!</v>
      </c>
      <c r="J54" s="48">
        <v>0</v>
      </c>
      <c r="K54" s="22">
        <f t="shared" si="2"/>
        <v>0</v>
      </c>
      <c r="L54" s="9"/>
      <c r="M54" s="9"/>
      <c r="N54" s="9"/>
      <c r="O54" s="9"/>
      <c r="P54" s="9"/>
      <c r="Q54" s="9"/>
      <c r="R54" s="9"/>
      <c r="S54" s="9"/>
      <c r="T54" s="8"/>
      <c r="U54" s="8"/>
    </row>
    <row r="55" spans="1:34" x14ac:dyDescent="0.25">
      <c r="A55" s="45">
        <v>0</v>
      </c>
      <c r="B55" s="42"/>
      <c r="C55" s="46"/>
      <c r="D55" s="48"/>
      <c r="E55" s="21" t="s">
        <v>83</v>
      </c>
      <c r="F55" s="22">
        <f>VLOOKUP(E55,'Price indx'!$A$2:$C$101,3,FALSE)</f>
        <v>881.08</v>
      </c>
      <c r="G55" s="21"/>
      <c r="H55" s="47">
        <f t="shared" si="0"/>
        <v>0</v>
      </c>
      <c r="I55" s="24" t="e">
        <f t="shared" si="1"/>
        <v>#DIV/0!</v>
      </c>
      <c r="J55" s="48">
        <v>0</v>
      </c>
      <c r="K55" s="22">
        <f t="shared" si="2"/>
        <v>0</v>
      </c>
      <c r="L55" s="26"/>
      <c r="M55" s="26"/>
      <c r="N55" s="26"/>
      <c r="O55" s="26"/>
      <c r="P55" s="26"/>
      <c r="Q55" s="26"/>
      <c r="R55" s="26"/>
      <c r="S55" s="26"/>
      <c r="T55" s="8"/>
      <c r="U55" s="8"/>
    </row>
    <row r="56" spans="1:34" x14ac:dyDescent="0.25">
      <c r="A56" s="45">
        <v>0</v>
      </c>
      <c r="B56" s="42"/>
      <c r="C56" s="46"/>
      <c r="D56" s="48"/>
      <c r="E56" s="21" t="s">
        <v>88</v>
      </c>
      <c r="F56" s="22">
        <f>VLOOKUP(E56,'Price indx'!$A$2:$C$101,3,FALSE)</f>
        <v>0.36030899999999999</v>
      </c>
      <c r="G56" s="21"/>
      <c r="H56" s="47">
        <f t="shared" si="0"/>
        <v>0</v>
      </c>
      <c r="I56" s="24" t="e">
        <f t="shared" si="1"/>
        <v>#DIV/0!</v>
      </c>
      <c r="J56" s="48">
        <v>0</v>
      </c>
      <c r="K56" s="22">
        <f t="shared" si="2"/>
        <v>0</v>
      </c>
      <c r="L56" s="9"/>
      <c r="M56" s="9"/>
      <c r="N56" s="9"/>
      <c r="O56" s="9"/>
      <c r="P56" s="9"/>
      <c r="Q56" s="9"/>
      <c r="R56" s="9"/>
      <c r="S56" s="9"/>
      <c r="T56" s="8"/>
      <c r="U56" s="8"/>
    </row>
    <row r="57" spans="1:34" x14ac:dyDescent="0.25">
      <c r="A57" s="45">
        <v>0</v>
      </c>
      <c r="B57" s="42"/>
      <c r="C57" s="46"/>
      <c r="D57" s="48"/>
      <c r="E57" s="21" t="s">
        <v>83</v>
      </c>
      <c r="F57" s="22">
        <f>VLOOKUP(E57,'Price indx'!$A$2:$C$101,3,FALSE)</f>
        <v>881.08</v>
      </c>
      <c r="G57" s="21"/>
      <c r="H57" s="47">
        <f t="shared" si="0"/>
        <v>0</v>
      </c>
      <c r="I57" s="24" t="e">
        <f t="shared" si="1"/>
        <v>#DIV/0!</v>
      </c>
      <c r="J57" s="48">
        <v>0</v>
      </c>
      <c r="K57" s="22">
        <f t="shared" si="2"/>
        <v>0</v>
      </c>
      <c r="L57" s="26"/>
      <c r="M57" s="26"/>
      <c r="N57" s="26"/>
      <c r="O57" s="26"/>
      <c r="P57" s="26"/>
      <c r="Q57" s="26"/>
      <c r="R57" s="26"/>
      <c r="S57" s="26"/>
      <c r="T57" s="8"/>
      <c r="U57" s="8"/>
    </row>
    <row r="58" spans="1:34" x14ac:dyDescent="0.25">
      <c r="A58" s="49"/>
      <c r="B58" s="50"/>
      <c r="C58" s="51"/>
      <c r="D58" s="48"/>
      <c r="E58" s="53"/>
      <c r="F58" s="52"/>
      <c r="G58" s="53"/>
      <c r="H58" s="52"/>
      <c r="I58" s="54"/>
      <c r="J58" s="48"/>
      <c r="K58" s="52"/>
      <c r="L58" s="53"/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53"/>
      <c r="AG58" s="53"/>
      <c r="AH58" s="53"/>
    </row>
    <row r="59" spans="1:34" x14ac:dyDescent="0.25">
      <c r="A59" s="49"/>
      <c r="B59" s="50"/>
      <c r="C59" s="51"/>
      <c r="D59" s="52"/>
      <c r="E59" s="53"/>
      <c r="F59" s="52"/>
      <c r="G59" s="53"/>
      <c r="H59" s="52"/>
      <c r="I59" s="54"/>
      <c r="J59" s="48"/>
      <c r="K59" s="52"/>
      <c r="L59" s="53"/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53"/>
      <c r="AG59" s="53"/>
      <c r="AH59" s="53"/>
    </row>
    <row r="60" spans="1:34" x14ac:dyDescent="0.25">
      <c r="A60" s="49"/>
      <c r="B60" s="50"/>
      <c r="C60" s="51"/>
      <c r="D60" s="52"/>
      <c r="E60" s="53"/>
      <c r="F60" s="52"/>
      <c r="G60" s="53"/>
      <c r="H60" s="52"/>
      <c r="I60" s="54"/>
      <c r="J60" s="48"/>
      <c r="K60" s="52"/>
      <c r="L60" s="53"/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53"/>
      <c r="AG60" s="53"/>
      <c r="AH60" s="53"/>
    </row>
    <row r="61" spans="1:34" x14ac:dyDescent="0.25">
      <c r="A61" s="49"/>
      <c r="B61" s="50"/>
      <c r="C61" s="51"/>
      <c r="D61" s="52"/>
      <c r="E61" s="53"/>
      <c r="F61" s="52"/>
      <c r="G61" s="53"/>
      <c r="H61" s="52"/>
      <c r="I61" s="54"/>
      <c r="J61" s="48"/>
      <c r="K61" s="52"/>
      <c r="L61" s="53"/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53"/>
      <c r="AG61" s="53"/>
      <c r="AH61" s="53"/>
    </row>
    <row r="62" spans="1:34" x14ac:dyDescent="0.25">
      <c r="A62" s="49"/>
      <c r="B62" s="50"/>
      <c r="C62" s="51"/>
      <c r="D62" s="52"/>
      <c r="E62" s="53"/>
      <c r="F62" s="52"/>
      <c r="G62" s="53"/>
      <c r="H62" s="52"/>
      <c r="I62" s="54"/>
      <c r="J62" s="48"/>
      <c r="K62" s="52"/>
      <c r="L62" s="53"/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53"/>
      <c r="AG62" s="53"/>
      <c r="AH62" s="53"/>
    </row>
    <row r="63" spans="1:34" x14ac:dyDescent="0.25">
      <c r="A63" s="49"/>
      <c r="B63" s="50"/>
      <c r="C63" s="51"/>
      <c r="D63" s="52"/>
      <c r="E63" s="53"/>
      <c r="F63" s="52"/>
      <c r="G63" s="53"/>
      <c r="H63" s="52"/>
      <c r="I63" s="54"/>
      <c r="J63" s="48"/>
      <c r="K63" s="52"/>
      <c r="L63" s="53"/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53"/>
      <c r="AG63" s="53"/>
      <c r="AH63" s="53"/>
    </row>
    <row r="64" spans="1:34" x14ac:dyDescent="0.25">
      <c r="A64" s="49"/>
      <c r="B64" s="50"/>
      <c r="C64" s="51"/>
      <c r="D64" s="52"/>
      <c r="E64" s="53"/>
      <c r="F64" s="52"/>
      <c r="G64" s="53"/>
      <c r="H64" s="52"/>
      <c r="I64" s="54"/>
      <c r="J64" s="48"/>
      <c r="K64" s="52"/>
      <c r="L64" s="53"/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53"/>
      <c r="AG64" s="53"/>
      <c r="AH64" s="53"/>
    </row>
    <row r="65" spans="1:34" x14ac:dyDescent="0.25">
      <c r="A65" s="49"/>
      <c r="B65" s="50"/>
      <c r="C65" s="51"/>
      <c r="D65" s="52"/>
      <c r="E65" s="53"/>
      <c r="F65" s="52"/>
      <c r="G65" s="53"/>
      <c r="H65" s="52"/>
      <c r="I65" s="54"/>
      <c r="J65" s="48"/>
      <c r="K65" s="52"/>
      <c r="L65" s="53"/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53"/>
      <c r="AG65" s="53"/>
      <c r="AH65" s="53"/>
    </row>
    <row r="66" spans="1:34" x14ac:dyDescent="0.25">
      <c r="A66" s="49"/>
      <c r="B66" s="50"/>
      <c r="C66" s="51"/>
      <c r="D66" s="52"/>
      <c r="E66" s="53"/>
      <c r="F66" s="52"/>
      <c r="G66" s="53"/>
      <c r="H66" s="52"/>
      <c r="I66" s="54"/>
      <c r="J66" s="48"/>
      <c r="K66" s="52"/>
      <c r="L66" s="53"/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53"/>
      <c r="AG66" s="53"/>
      <c r="AH66" s="53"/>
    </row>
    <row r="67" spans="1:34" x14ac:dyDescent="0.25">
      <c r="A67" s="49"/>
      <c r="B67" s="50"/>
      <c r="C67" s="51"/>
      <c r="D67" s="52"/>
      <c r="E67" s="53"/>
      <c r="F67" s="52"/>
      <c r="G67" s="53"/>
      <c r="H67" s="52"/>
      <c r="I67" s="54"/>
      <c r="J67" s="48"/>
      <c r="K67" s="52"/>
      <c r="L67" s="53"/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53"/>
      <c r="AG67" s="53"/>
      <c r="AH67" s="53"/>
    </row>
    <row r="68" spans="1:34" x14ac:dyDescent="0.25">
      <c r="A68" s="49"/>
      <c r="B68" s="50"/>
      <c r="C68" s="51"/>
      <c r="D68" s="52"/>
      <c r="E68" s="53"/>
      <c r="F68" s="52"/>
      <c r="G68" s="53"/>
      <c r="H68" s="52"/>
      <c r="I68" s="54"/>
      <c r="J68" s="48"/>
      <c r="K68" s="52"/>
      <c r="L68" s="53"/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53"/>
      <c r="AG68" s="53"/>
      <c r="AH68" s="53"/>
    </row>
    <row r="69" spans="1:34" x14ac:dyDescent="0.25">
      <c r="A69" s="49"/>
      <c r="B69" s="50"/>
      <c r="C69" s="51"/>
      <c r="D69" s="52"/>
      <c r="E69" s="53"/>
      <c r="F69" s="52"/>
      <c r="G69" s="53"/>
      <c r="H69" s="52"/>
      <c r="I69" s="54"/>
      <c r="J69" s="48"/>
      <c r="K69" s="52"/>
      <c r="L69" s="53"/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53"/>
      <c r="AG69" s="53"/>
      <c r="AH69" s="53"/>
    </row>
    <row r="70" spans="1:34" x14ac:dyDescent="0.25">
      <c r="A70" s="49"/>
      <c r="B70" s="50"/>
      <c r="C70" s="51"/>
      <c r="D70" s="52"/>
      <c r="E70" s="53"/>
      <c r="F70" s="52"/>
      <c r="G70" s="53"/>
      <c r="H70" s="52"/>
      <c r="I70" s="54"/>
      <c r="J70" s="48"/>
      <c r="K70" s="52"/>
      <c r="L70" s="53"/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53"/>
      <c r="AG70" s="53"/>
      <c r="AH70" s="53"/>
    </row>
    <row r="71" spans="1:34" x14ac:dyDescent="0.25">
      <c r="A71" s="49"/>
      <c r="B71" s="50"/>
      <c r="C71" s="51"/>
      <c r="D71" s="52"/>
      <c r="E71" s="53"/>
      <c r="F71" s="52"/>
      <c r="G71" s="53"/>
      <c r="H71" s="52"/>
      <c r="I71" s="54"/>
      <c r="J71" s="48"/>
      <c r="K71" s="52"/>
      <c r="L71" s="53"/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53"/>
      <c r="AG71" s="53"/>
      <c r="AH71" s="53"/>
    </row>
    <row r="72" spans="1:34" x14ac:dyDescent="0.25">
      <c r="A72" s="49"/>
      <c r="B72" s="50"/>
      <c r="C72" s="51"/>
      <c r="D72" s="52"/>
      <c r="E72" s="53"/>
      <c r="F72" s="52"/>
      <c r="G72" s="53"/>
      <c r="H72" s="52"/>
      <c r="I72" s="54"/>
      <c r="J72" s="48"/>
      <c r="K72" s="52"/>
      <c r="L72" s="53"/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53"/>
      <c r="AG72" s="53"/>
      <c r="AH72" s="53"/>
    </row>
    <row r="73" spans="1:34" x14ac:dyDescent="0.25">
      <c r="A73" s="49"/>
      <c r="B73" s="50"/>
      <c r="C73" s="51"/>
      <c r="D73" s="52"/>
      <c r="E73" s="53"/>
      <c r="F73" s="52"/>
      <c r="G73" s="53"/>
      <c r="H73" s="52"/>
      <c r="I73" s="54"/>
      <c r="J73" s="48"/>
      <c r="K73" s="52"/>
      <c r="L73" s="53"/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53"/>
      <c r="AG73" s="53"/>
      <c r="AH73" s="53"/>
    </row>
    <row r="74" spans="1:34" x14ac:dyDescent="0.25">
      <c r="A74" s="49"/>
      <c r="B74" s="50"/>
      <c r="C74" s="51"/>
      <c r="D74" s="52"/>
      <c r="E74" s="53"/>
      <c r="F74" s="52"/>
      <c r="G74" s="53"/>
      <c r="H74" s="52"/>
      <c r="I74" s="54"/>
      <c r="J74" s="48"/>
      <c r="K74" s="52"/>
      <c r="L74" s="53"/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53"/>
      <c r="AG74" s="53"/>
      <c r="AH74" s="53"/>
    </row>
    <row r="75" spans="1:34" x14ac:dyDescent="0.25">
      <c r="A75" s="49"/>
      <c r="B75" s="50"/>
      <c r="C75" s="51"/>
      <c r="D75" s="52"/>
      <c r="E75" s="53"/>
      <c r="F75" s="52"/>
      <c r="G75" s="53"/>
      <c r="H75" s="52"/>
      <c r="I75" s="54"/>
      <c r="J75" s="48"/>
      <c r="K75" s="52"/>
      <c r="L75" s="53"/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53"/>
      <c r="AG75" s="53"/>
      <c r="AH75" s="53"/>
    </row>
    <row r="76" spans="1:34" x14ac:dyDescent="0.25">
      <c r="A76" s="49"/>
      <c r="B76" s="50"/>
      <c r="C76" s="51"/>
      <c r="D76" s="52"/>
      <c r="E76" s="53"/>
      <c r="F76" s="52"/>
      <c r="G76" s="53"/>
      <c r="H76" s="52"/>
      <c r="I76" s="54"/>
      <c r="J76" s="48"/>
      <c r="K76" s="52"/>
      <c r="L76" s="53"/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53"/>
      <c r="AG76" s="53"/>
      <c r="AH76" s="53"/>
    </row>
    <row r="77" spans="1:34" x14ac:dyDescent="0.25">
      <c r="A77" s="49"/>
      <c r="B77" s="50"/>
      <c r="C77" s="51"/>
      <c r="D77" s="52"/>
      <c r="E77" s="53"/>
      <c r="F77" s="52"/>
      <c r="G77" s="53"/>
      <c r="H77" s="52"/>
      <c r="I77" s="54"/>
      <c r="J77" s="48"/>
      <c r="K77" s="52"/>
      <c r="L77" s="53"/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53"/>
      <c r="AG77" s="53"/>
      <c r="AH77" s="53"/>
    </row>
    <row r="78" spans="1:34" x14ac:dyDescent="0.25">
      <c r="A78" s="49"/>
      <c r="B78" s="50"/>
      <c r="C78" s="51"/>
      <c r="D78" s="52"/>
      <c r="E78" s="53"/>
      <c r="F78" s="52"/>
      <c r="G78" s="53"/>
      <c r="H78" s="52"/>
      <c r="I78" s="54"/>
      <c r="J78" s="48"/>
      <c r="K78" s="52"/>
      <c r="L78" s="53"/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53"/>
      <c r="AG78" s="53"/>
      <c r="AH78" s="53"/>
    </row>
    <row r="79" spans="1:34" x14ac:dyDescent="0.25">
      <c r="A79" s="49"/>
      <c r="B79" s="50"/>
      <c r="C79" s="51"/>
      <c r="D79" s="52"/>
      <c r="E79" s="53"/>
      <c r="F79" s="52"/>
      <c r="G79" s="53"/>
      <c r="H79" s="52"/>
      <c r="I79" s="54"/>
      <c r="J79" s="48"/>
      <c r="K79" s="52"/>
      <c r="L79" s="53"/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53"/>
      <c r="AG79" s="53"/>
      <c r="AH79" s="53"/>
    </row>
    <row r="80" spans="1:34" x14ac:dyDescent="0.25">
      <c r="A80" s="49"/>
      <c r="B80" s="50"/>
      <c r="C80" s="51"/>
      <c r="D80" s="52"/>
      <c r="E80" s="53"/>
      <c r="F80" s="52"/>
      <c r="G80" s="53"/>
      <c r="H80" s="52"/>
      <c r="I80" s="54"/>
      <c r="J80" s="48"/>
      <c r="K80" s="52"/>
      <c r="L80" s="53"/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53"/>
      <c r="AG80" s="53"/>
      <c r="AH80" s="53"/>
    </row>
    <row r="81" spans="1:34" x14ac:dyDescent="0.25">
      <c r="A81" s="49"/>
      <c r="B81" s="50"/>
      <c r="C81" s="51"/>
      <c r="D81" s="52"/>
      <c r="E81" s="53"/>
      <c r="F81" s="52"/>
      <c r="G81" s="53"/>
      <c r="H81" s="52"/>
      <c r="I81" s="54"/>
      <c r="J81" s="48"/>
      <c r="K81" s="52"/>
      <c r="L81" s="53"/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53"/>
      <c r="AG81" s="53"/>
      <c r="AH81" s="53"/>
    </row>
    <row r="82" spans="1:34" x14ac:dyDescent="0.25">
      <c r="A82" s="49"/>
      <c r="B82" s="50"/>
      <c r="C82" s="51"/>
      <c r="D82" s="52"/>
      <c r="E82" s="53"/>
      <c r="F82" s="52"/>
      <c r="G82" s="53"/>
      <c r="H82" s="52"/>
      <c r="I82" s="54"/>
      <c r="J82" s="48"/>
      <c r="K82" s="52"/>
      <c r="L82" s="53"/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53"/>
      <c r="AG82" s="53"/>
      <c r="AH82" s="53"/>
    </row>
    <row r="83" spans="1:34" x14ac:dyDescent="0.25">
      <c r="A83" s="49"/>
      <c r="B83" s="50"/>
      <c r="C83" s="51"/>
      <c r="D83" s="52"/>
      <c r="E83" s="53"/>
      <c r="F83" s="52"/>
      <c r="G83" s="53"/>
      <c r="H83" s="52"/>
      <c r="I83" s="54"/>
      <c r="J83" s="48"/>
      <c r="K83" s="52"/>
      <c r="L83" s="53"/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53"/>
      <c r="AG83" s="53"/>
      <c r="AH83" s="53"/>
    </row>
    <row r="84" spans="1:34" x14ac:dyDescent="0.25">
      <c r="A84" s="49"/>
      <c r="B84" s="50"/>
      <c r="C84" s="51"/>
      <c r="D84" s="52"/>
      <c r="E84" s="53"/>
      <c r="F84" s="52"/>
      <c r="G84" s="53"/>
      <c r="H84" s="52"/>
      <c r="I84" s="54"/>
      <c r="J84" s="48"/>
      <c r="K84" s="52"/>
      <c r="L84" s="53"/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53"/>
      <c r="AG84" s="53"/>
      <c r="AH84" s="53"/>
    </row>
    <row r="85" spans="1:34" x14ac:dyDescent="0.25">
      <c r="A85" s="49"/>
      <c r="B85" s="53"/>
      <c r="C85" s="53"/>
      <c r="D85" s="53"/>
      <c r="E85" s="53"/>
      <c r="F85" s="53"/>
      <c r="G85" s="53"/>
      <c r="H85" s="52"/>
      <c r="I85" s="54"/>
      <c r="J85" s="48"/>
      <c r="K85" s="52"/>
      <c r="L85" s="53"/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53"/>
      <c r="AG85" s="53"/>
      <c r="AH85" s="53"/>
    </row>
    <row r="86" spans="1:34" x14ac:dyDescent="0.25">
      <c r="A86" s="49"/>
      <c r="B86" s="53"/>
      <c r="C86" s="53"/>
      <c r="D86" s="53"/>
      <c r="E86" s="53"/>
      <c r="F86" s="53"/>
      <c r="G86" s="53"/>
      <c r="H86" s="52"/>
      <c r="I86" s="54"/>
      <c r="J86" s="48"/>
      <c r="K86" s="52"/>
      <c r="L86" s="53"/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53"/>
      <c r="AG86" s="53"/>
      <c r="AH86" s="53"/>
    </row>
    <row r="87" spans="1:34" x14ac:dyDescent="0.25">
      <c r="A87" s="49"/>
      <c r="B87" s="53"/>
      <c r="C87" s="53"/>
      <c r="D87" s="53"/>
      <c r="E87" s="53"/>
      <c r="F87" s="53"/>
      <c r="G87" s="53"/>
      <c r="H87" s="52"/>
      <c r="I87" s="54"/>
      <c r="J87" s="48"/>
      <c r="K87" s="52"/>
      <c r="L87" s="53"/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53"/>
      <c r="AG87" s="53"/>
      <c r="AH87" s="53"/>
    </row>
    <row r="88" spans="1:34" x14ac:dyDescent="0.25">
      <c r="A88" s="49"/>
      <c r="B88" s="53"/>
      <c r="C88" s="53"/>
      <c r="D88" s="53"/>
      <c r="E88" s="53"/>
      <c r="F88" s="53"/>
      <c r="G88" s="53"/>
      <c r="H88" s="52"/>
      <c r="I88" s="54"/>
      <c r="J88" s="48"/>
      <c r="K88" s="52"/>
      <c r="L88" s="53"/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53"/>
      <c r="AG88" s="53"/>
      <c r="AH88" s="53"/>
    </row>
    <row r="89" spans="1:34" x14ac:dyDescent="0.25">
      <c r="A89" s="49"/>
      <c r="B89" s="53"/>
      <c r="C89" s="53"/>
      <c r="D89" s="53"/>
      <c r="E89" s="53"/>
      <c r="F89" s="53"/>
      <c r="G89" s="53"/>
      <c r="H89" s="52"/>
      <c r="I89" s="54"/>
      <c r="J89" s="48"/>
      <c r="K89" s="52"/>
      <c r="L89" s="53"/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53"/>
      <c r="AG89" s="53"/>
      <c r="AH89" s="53"/>
    </row>
    <row r="90" spans="1:34" x14ac:dyDescent="0.25">
      <c r="A90" s="49"/>
      <c r="B90" s="53"/>
      <c r="C90" s="53"/>
      <c r="D90" s="53"/>
      <c r="E90" s="53"/>
      <c r="F90" s="53"/>
      <c r="G90" s="53"/>
      <c r="H90" s="52"/>
      <c r="I90" s="54"/>
      <c r="J90" s="48"/>
      <c r="K90" s="52"/>
      <c r="L90" s="53"/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53"/>
      <c r="AG90" s="53"/>
      <c r="AH90" s="53"/>
    </row>
    <row r="91" spans="1:34" x14ac:dyDescent="0.25">
      <c r="A91" s="49"/>
      <c r="B91" s="53"/>
      <c r="C91" s="53"/>
      <c r="D91" s="53"/>
      <c r="E91" s="53"/>
      <c r="F91" s="53"/>
      <c r="G91" s="53"/>
      <c r="H91" s="52"/>
      <c r="I91" s="54"/>
      <c r="J91" s="48"/>
      <c r="K91" s="52"/>
      <c r="L91" s="53"/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53"/>
      <c r="AG91" s="53"/>
      <c r="AH91" s="53"/>
    </row>
    <row r="92" spans="1:34" x14ac:dyDescent="0.25">
      <c r="A92" s="49"/>
      <c r="B92" s="53"/>
      <c r="C92" s="53"/>
      <c r="D92" s="53"/>
      <c r="E92" s="53"/>
      <c r="F92" s="53"/>
      <c r="G92" s="53"/>
      <c r="H92" s="52"/>
      <c r="I92" s="54"/>
      <c r="J92" s="48"/>
      <c r="K92" s="52"/>
      <c r="L92" s="53"/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53"/>
      <c r="AG92" s="53"/>
      <c r="AH92" s="53"/>
    </row>
    <row r="93" spans="1:34" x14ac:dyDescent="0.25">
      <c r="A93" s="49"/>
      <c r="B93" s="53"/>
      <c r="C93" s="53"/>
      <c r="D93" s="53"/>
      <c r="E93" s="53"/>
      <c r="F93" s="53"/>
      <c r="G93" s="53"/>
      <c r="H93" s="52"/>
      <c r="I93" s="54"/>
      <c r="J93" s="48"/>
      <c r="K93" s="52"/>
      <c r="L93" s="53"/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53"/>
      <c r="AG93" s="53"/>
      <c r="AH93" s="53"/>
    </row>
    <row r="94" spans="1:34" x14ac:dyDescent="0.25">
      <c r="A94" s="49"/>
      <c r="B94" s="53"/>
      <c r="C94" s="53"/>
      <c r="D94" s="53"/>
      <c r="E94" s="53"/>
      <c r="F94" s="53"/>
      <c r="G94" s="53"/>
      <c r="H94" s="52"/>
      <c r="I94" s="54"/>
      <c r="J94" s="48"/>
      <c r="K94" s="52"/>
      <c r="L94" s="53"/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53"/>
      <c r="AG94" s="53"/>
      <c r="AH94" s="53"/>
    </row>
    <row r="95" spans="1:34" x14ac:dyDescent="0.25">
      <c r="A95" s="49"/>
      <c r="B95" s="53"/>
      <c r="C95" s="53"/>
      <c r="D95" s="53"/>
      <c r="E95" s="53"/>
      <c r="F95" s="53"/>
      <c r="G95" s="53"/>
      <c r="H95" s="52"/>
      <c r="I95" s="54"/>
      <c r="J95" s="48"/>
      <c r="K95" s="52"/>
      <c r="L95" s="53"/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53"/>
      <c r="AG95" s="53"/>
      <c r="AH95" s="53"/>
    </row>
    <row r="96" spans="1:34" x14ac:dyDescent="0.25">
      <c r="A96" s="49"/>
      <c r="B96" s="53"/>
      <c r="C96" s="53"/>
      <c r="D96" s="53"/>
      <c r="E96" s="53"/>
      <c r="F96" s="53"/>
      <c r="G96" s="53"/>
      <c r="H96" s="52"/>
      <c r="I96" s="54"/>
      <c r="J96" s="48"/>
      <c r="K96" s="52"/>
      <c r="L96" s="53"/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53"/>
      <c r="AG96" s="53"/>
      <c r="AH96" s="53"/>
    </row>
    <row r="97" spans="1:34" x14ac:dyDescent="0.25">
      <c r="A97" s="49"/>
      <c r="B97" s="53"/>
      <c r="C97" s="53"/>
      <c r="D97" s="53"/>
      <c r="E97" s="53"/>
      <c r="F97" s="53"/>
      <c r="G97" s="53"/>
      <c r="H97" s="52"/>
      <c r="I97" s="54"/>
      <c r="J97" s="48"/>
      <c r="K97" s="52"/>
      <c r="L97" s="53"/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53"/>
      <c r="AG97" s="53"/>
      <c r="AH97" s="53"/>
    </row>
    <row r="98" spans="1:34" x14ac:dyDescent="0.25">
      <c r="A98" s="49"/>
      <c r="B98" s="53"/>
      <c r="C98" s="53"/>
      <c r="D98" s="53"/>
      <c r="E98" s="53"/>
      <c r="F98" s="53"/>
      <c r="G98" s="53"/>
      <c r="H98" s="52"/>
      <c r="I98" s="54"/>
      <c r="J98" s="48"/>
      <c r="K98" s="52"/>
      <c r="L98" s="53"/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53"/>
      <c r="AG98" s="53"/>
      <c r="AH98" s="53"/>
    </row>
    <row r="99" spans="1:34" x14ac:dyDescent="0.25">
      <c r="A99" s="49"/>
      <c r="B99" s="53"/>
      <c r="C99" s="53"/>
      <c r="D99" s="53"/>
      <c r="E99" s="53"/>
      <c r="F99" s="53"/>
      <c r="G99" s="53"/>
      <c r="H99" s="52"/>
      <c r="I99" s="54"/>
      <c r="J99" s="48"/>
      <c r="K99" s="52"/>
      <c r="L99" s="53"/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53"/>
      <c r="AG99" s="53"/>
      <c r="AH99" s="53"/>
    </row>
    <row r="100" spans="1:34" x14ac:dyDescent="0.25">
      <c r="A100" s="49"/>
      <c r="B100" s="53"/>
      <c r="C100" s="53"/>
      <c r="D100" s="53"/>
      <c r="E100" s="53"/>
      <c r="F100" s="53"/>
      <c r="G100" s="53"/>
      <c r="H100" s="52"/>
      <c r="I100" s="54"/>
      <c r="J100" s="48"/>
      <c r="K100" s="52"/>
      <c r="L100" s="53"/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53"/>
      <c r="AG100" s="53"/>
      <c r="AH100" s="53"/>
    </row>
    <row r="101" spans="1:34" x14ac:dyDescent="0.25">
      <c r="A101" s="49"/>
      <c r="B101" s="53"/>
      <c r="C101" s="53"/>
      <c r="D101" s="53"/>
      <c r="E101" s="53"/>
      <c r="F101" s="53"/>
      <c r="G101" s="53"/>
      <c r="H101" s="52"/>
      <c r="I101" s="54"/>
      <c r="J101" s="48"/>
      <c r="K101" s="52"/>
      <c r="L101" s="53"/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53"/>
      <c r="AG101" s="53"/>
      <c r="AH101" s="53"/>
    </row>
    <row r="102" spans="1:34" x14ac:dyDescent="0.25">
      <c r="A102" s="49"/>
      <c r="B102" s="53"/>
      <c r="C102" s="53"/>
      <c r="D102" s="53"/>
      <c r="E102" s="53"/>
      <c r="F102" s="53"/>
      <c r="G102" s="53"/>
      <c r="H102" s="52"/>
      <c r="I102" s="54"/>
      <c r="J102" s="48"/>
      <c r="K102" s="52"/>
      <c r="L102" s="53"/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53"/>
      <c r="AG102" s="53"/>
      <c r="AH102" s="53"/>
    </row>
    <row r="103" spans="1:34" x14ac:dyDescent="0.25">
      <c r="A103" s="49"/>
      <c r="B103" s="53"/>
      <c r="C103" s="53"/>
      <c r="D103" s="53"/>
      <c r="E103" s="53"/>
      <c r="F103" s="53"/>
      <c r="G103" s="53"/>
      <c r="H103" s="52"/>
      <c r="I103" s="54"/>
      <c r="J103" s="48"/>
      <c r="K103" s="52"/>
      <c r="L103" s="53"/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53"/>
      <c r="AG103" s="53"/>
      <c r="AH103" s="53"/>
    </row>
    <row r="104" spans="1:34" x14ac:dyDescent="0.25">
      <c r="A104" s="49"/>
      <c r="B104" s="53"/>
      <c r="C104" s="53"/>
      <c r="D104" s="53"/>
      <c r="E104" s="53"/>
      <c r="F104" s="53"/>
      <c r="G104" s="53"/>
      <c r="H104" s="52"/>
      <c r="I104" s="54"/>
      <c r="J104" s="48"/>
      <c r="K104" s="52"/>
      <c r="L104" s="53"/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53"/>
      <c r="AG104" s="53"/>
      <c r="AH104" s="53"/>
    </row>
    <row r="105" spans="1:34" x14ac:dyDescent="0.25">
      <c r="A105" s="49"/>
      <c r="B105" s="53"/>
      <c r="C105" s="53"/>
      <c r="D105" s="53"/>
      <c r="E105" s="53"/>
      <c r="F105" s="53"/>
      <c r="G105" s="53"/>
      <c r="H105" s="52"/>
      <c r="I105" s="54"/>
      <c r="J105" s="48"/>
      <c r="K105" s="52"/>
      <c r="L105" s="53"/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53"/>
      <c r="AG105" s="53"/>
      <c r="AH105" s="53"/>
    </row>
    <row r="106" spans="1:34" x14ac:dyDescent="0.25">
      <c r="A106" s="49"/>
      <c r="B106" s="53"/>
      <c r="C106" s="53"/>
      <c r="D106" s="53"/>
      <c r="E106" s="53"/>
      <c r="F106" s="53"/>
      <c r="G106" s="53"/>
      <c r="H106" s="52"/>
      <c r="I106" s="54"/>
      <c r="J106" s="48"/>
      <c r="K106" s="52"/>
      <c r="L106" s="53"/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53"/>
      <c r="AG106" s="53"/>
      <c r="AH106" s="53"/>
    </row>
    <row r="107" spans="1:34" x14ac:dyDescent="0.25">
      <c r="A107" s="49"/>
      <c r="B107" s="53"/>
      <c r="C107" s="53"/>
      <c r="D107" s="53"/>
      <c r="E107" s="53"/>
      <c r="F107" s="53"/>
      <c r="G107" s="53"/>
      <c r="H107" s="52"/>
      <c r="I107" s="54"/>
      <c r="J107" s="48"/>
      <c r="K107" s="52"/>
      <c r="L107" s="53"/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53"/>
      <c r="AG107" s="53"/>
      <c r="AH107" s="53"/>
    </row>
    <row r="108" spans="1:34" x14ac:dyDescent="0.25">
      <c r="A108" s="49"/>
      <c r="B108" s="53"/>
      <c r="C108" s="53"/>
      <c r="D108" s="53"/>
      <c r="E108" s="53"/>
      <c r="F108" s="53"/>
      <c r="G108" s="53"/>
      <c r="H108" s="52"/>
      <c r="I108" s="54"/>
      <c r="J108" s="48"/>
      <c r="K108" s="52"/>
      <c r="L108" s="53"/>
      <c r="M108" s="53"/>
      <c r="N108" s="53"/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53"/>
      <c r="AG108" s="53"/>
      <c r="AH108" s="53"/>
    </row>
    <row r="109" spans="1:34" x14ac:dyDescent="0.25">
      <c r="A109" s="49"/>
      <c r="B109" s="53"/>
      <c r="C109" s="53"/>
      <c r="D109" s="53"/>
      <c r="E109" s="53"/>
      <c r="F109" s="53"/>
      <c r="G109" s="53"/>
      <c r="H109" s="52"/>
      <c r="I109" s="54"/>
      <c r="J109" s="48"/>
      <c r="K109" s="52"/>
      <c r="L109" s="53"/>
      <c r="M109" s="53"/>
      <c r="N109" s="53"/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53"/>
      <c r="AG109" s="53"/>
      <c r="AH109" s="53"/>
    </row>
    <row r="110" spans="1:34" x14ac:dyDescent="0.25">
      <c r="A110" s="49"/>
      <c r="B110" s="53"/>
      <c r="C110" s="53"/>
      <c r="D110" s="53"/>
      <c r="E110" s="53"/>
      <c r="F110" s="53"/>
      <c r="G110" s="53"/>
      <c r="H110" s="52"/>
      <c r="I110" s="54"/>
      <c r="J110" s="48"/>
      <c r="K110" s="52"/>
      <c r="L110" s="53"/>
      <c r="M110" s="53"/>
      <c r="N110" s="53"/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53"/>
      <c r="AG110" s="53"/>
      <c r="AH110" s="53"/>
    </row>
    <row r="111" spans="1:34" x14ac:dyDescent="0.25">
      <c r="A111" s="49"/>
      <c r="B111" s="53"/>
      <c r="C111" s="53"/>
      <c r="D111" s="53"/>
      <c r="E111" s="53"/>
      <c r="F111" s="53"/>
      <c r="G111" s="53"/>
      <c r="H111" s="52"/>
      <c r="I111" s="54"/>
      <c r="J111" s="48"/>
      <c r="K111" s="52"/>
      <c r="L111" s="53"/>
      <c r="M111" s="53"/>
      <c r="N111" s="53"/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53"/>
      <c r="AG111" s="53"/>
      <c r="AH111" s="53"/>
    </row>
    <row r="112" spans="1:34" x14ac:dyDescent="0.25">
      <c r="A112" s="49"/>
      <c r="B112" s="53"/>
      <c r="C112" s="53"/>
      <c r="D112" s="53"/>
      <c r="E112" s="53"/>
      <c r="F112" s="53"/>
      <c r="G112" s="53"/>
      <c r="H112" s="52"/>
      <c r="I112" s="54"/>
      <c r="J112" s="48"/>
      <c r="K112" s="52"/>
      <c r="L112" s="53"/>
      <c r="M112" s="53"/>
      <c r="N112" s="53"/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53"/>
      <c r="AG112" s="53"/>
      <c r="AH112" s="53"/>
    </row>
    <row r="113" spans="1:34" x14ac:dyDescent="0.25">
      <c r="A113" s="49"/>
      <c r="B113" s="53"/>
      <c r="C113" s="53"/>
      <c r="D113" s="53"/>
      <c r="E113" s="53"/>
      <c r="F113" s="53"/>
      <c r="G113" s="53"/>
      <c r="H113" s="52"/>
      <c r="I113" s="54"/>
      <c r="J113" s="48"/>
      <c r="K113" s="52"/>
      <c r="L113" s="53"/>
      <c r="M113" s="53"/>
      <c r="N113" s="53"/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53"/>
      <c r="AG113" s="53"/>
      <c r="AH113" s="53"/>
    </row>
    <row r="114" spans="1:34" x14ac:dyDescent="0.25">
      <c r="A114" s="49"/>
      <c r="B114" s="53"/>
      <c r="C114" s="53"/>
      <c r="D114" s="53"/>
      <c r="E114" s="53"/>
      <c r="F114" s="53"/>
      <c r="G114" s="53"/>
      <c r="H114" s="52"/>
      <c r="I114" s="54"/>
      <c r="J114" s="48"/>
      <c r="K114" s="52"/>
      <c r="L114" s="53"/>
      <c r="M114" s="53"/>
      <c r="N114" s="53"/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53"/>
      <c r="AG114" s="53"/>
      <c r="AH114" s="53"/>
    </row>
    <row r="115" spans="1:34" x14ac:dyDescent="0.25">
      <c r="A115" s="49"/>
      <c r="B115" s="53"/>
      <c r="C115" s="53"/>
      <c r="D115" s="53"/>
      <c r="E115" s="53"/>
      <c r="F115" s="53"/>
      <c r="G115" s="53"/>
      <c r="H115" s="52"/>
      <c r="I115" s="54"/>
      <c r="J115" s="48"/>
      <c r="K115" s="52"/>
      <c r="L115" s="53"/>
      <c r="M115" s="53"/>
      <c r="N115" s="53"/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53"/>
      <c r="AG115" s="53"/>
      <c r="AH115" s="53"/>
    </row>
    <row r="116" spans="1:34" x14ac:dyDescent="0.25">
      <c r="A116" s="49"/>
      <c r="B116" s="53"/>
      <c r="C116" s="53"/>
      <c r="D116" s="53"/>
      <c r="E116" s="53"/>
      <c r="F116" s="53"/>
      <c r="G116" s="53"/>
      <c r="H116" s="52"/>
      <c r="I116" s="54"/>
      <c r="J116" s="48"/>
      <c r="K116" s="52"/>
      <c r="L116" s="53"/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53"/>
      <c r="AG116" s="53"/>
      <c r="AH116" s="53"/>
    </row>
    <row r="117" spans="1:34" x14ac:dyDescent="0.25">
      <c r="A117" s="49"/>
      <c r="B117" s="53"/>
      <c r="C117" s="53"/>
      <c r="D117" s="53"/>
      <c r="E117" s="53"/>
      <c r="F117" s="53"/>
      <c r="G117" s="53"/>
      <c r="H117" s="52"/>
      <c r="I117" s="54"/>
      <c r="J117" s="48"/>
      <c r="K117" s="52"/>
      <c r="L117" s="53"/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53"/>
      <c r="AG117" s="53"/>
      <c r="AH117" s="53"/>
    </row>
    <row r="118" spans="1:34" x14ac:dyDescent="0.25">
      <c r="A118" s="49"/>
      <c r="B118" s="53"/>
      <c r="C118" s="53"/>
      <c r="D118" s="53"/>
      <c r="E118" s="53"/>
      <c r="F118" s="53"/>
      <c r="G118" s="53"/>
      <c r="H118" s="52"/>
      <c r="I118" s="54"/>
      <c r="J118" s="48"/>
      <c r="K118" s="52"/>
      <c r="L118" s="53"/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53"/>
      <c r="AG118" s="53"/>
      <c r="AH118" s="53"/>
    </row>
    <row r="119" spans="1:34" x14ac:dyDescent="0.25">
      <c r="A119" s="49"/>
      <c r="B119" s="53"/>
      <c r="C119" s="53"/>
      <c r="D119" s="53"/>
      <c r="E119" s="53"/>
      <c r="F119" s="53"/>
      <c r="G119" s="53"/>
      <c r="H119" s="52"/>
      <c r="I119" s="54"/>
      <c r="J119" s="48"/>
      <c r="K119" s="52"/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53"/>
      <c r="AG119" s="53"/>
      <c r="AH119" s="53"/>
    </row>
    <row r="120" spans="1:34" x14ac:dyDescent="0.25">
      <c r="A120" s="49"/>
      <c r="B120" s="53"/>
      <c r="C120" s="53"/>
      <c r="D120" s="53"/>
      <c r="E120" s="53"/>
      <c r="F120" s="53"/>
      <c r="G120" s="53"/>
      <c r="H120" s="52"/>
      <c r="I120" s="54"/>
      <c r="J120" s="48"/>
      <c r="K120" s="52"/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53"/>
      <c r="AG120" s="53"/>
      <c r="AH120" s="53"/>
    </row>
    <row r="121" spans="1:34" x14ac:dyDescent="0.25">
      <c r="A121" s="49"/>
      <c r="B121" s="53"/>
      <c r="C121" s="53"/>
      <c r="D121" s="53"/>
      <c r="E121" s="53"/>
      <c r="F121" s="53"/>
      <c r="G121" s="53"/>
      <c r="H121" s="52"/>
      <c r="I121" s="54"/>
      <c r="J121" s="48"/>
      <c r="K121" s="52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53"/>
      <c r="AG121" s="53"/>
      <c r="AH121" s="53"/>
    </row>
    <row r="122" spans="1:34" x14ac:dyDescent="0.25">
      <c r="A122" s="49"/>
      <c r="B122" s="53"/>
      <c r="C122" s="53"/>
      <c r="D122" s="53"/>
      <c r="E122" s="53"/>
      <c r="F122" s="53"/>
      <c r="G122" s="53"/>
      <c r="H122" s="52"/>
      <c r="I122" s="54"/>
      <c r="J122" s="48"/>
      <c r="K122" s="52"/>
      <c r="L122" s="53"/>
      <c r="M122" s="53"/>
      <c r="N122" s="53"/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53"/>
      <c r="AG122" s="53"/>
      <c r="AH122" s="53"/>
    </row>
    <row r="123" spans="1:34" x14ac:dyDescent="0.25">
      <c r="A123" s="49"/>
      <c r="B123" s="53"/>
      <c r="C123" s="53"/>
      <c r="D123" s="53"/>
      <c r="E123" s="53"/>
      <c r="F123" s="53"/>
      <c r="G123" s="53"/>
      <c r="H123" s="52"/>
      <c r="I123" s="54"/>
      <c r="J123" s="48"/>
      <c r="K123" s="52"/>
      <c r="L123" s="53"/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53"/>
      <c r="AG123" s="53"/>
      <c r="AH123" s="53"/>
    </row>
    <row r="124" spans="1:34" x14ac:dyDescent="0.25">
      <c r="A124" s="49"/>
      <c r="B124" s="53"/>
      <c r="C124" s="53"/>
      <c r="D124" s="53"/>
      <c r="E124" s="53"/>
      <c r="F124" s="53"/>
      <c r="G124" s="53"/>
      <c r="H124" s="52"/>
      <c r="I124" s="54"/>
      <c r="J124" s="48"/>
      <c r="K124" s="52"/>
      <c r="L124" s="53"/>
      <c r="M124" s="53"/>
      <c r="N124" s="53"/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53"/>
      <c r="AG124" s="53"/>
      <c r="AH124" s="53"/>
    </row>
    <row r="125" spans="1:34" x14ac:dyDescent="0.25">
      <c r="A125" s="49"/>
      <c r="B125" s="53"/>
      <c r="C125" s="53"/>
      <c r="D125" s="53"/>
      <c r="E125" s="53"/>
      <c r="F125" s="53"/>
      <c r="G125" s="53"/>
      <c r="H125" s="52"/>
      <c r="I125" s="54"/>
      <c r="J125" s="48"/>
      <c r="K125" s="52"/>
      <c r="L125" s="53"/>
      <c r="M125" s="53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53"/>
      <c r="AG125" s="53"/>
      <c r="AH125" s="53"/>
    </row>
    <row r="126" spans="1:34" x14ac:dyDescent="0.25">
      <c r="A126" s="49">
        <v>0</v>
      </c>
      <c r="B126" s="53"/>
      <c r="C126" s="53"/>
      <c r="D126" s="53"/>
      <c r="E126" s="53" t="s">
        <v>12</v>
      </c>
      <c r="F126" s="53" t="e">
        <f>VLOOKUP(E126,'Price indx'!#REF!,3,FALSE)</f>
        <v>#REF!</v>
      </c>
      <c r="G126" s="53"/>
      <c r="H126" s="52" t="e">
        <f t="shared" ref="H69:H132" si="5">G126*F126</f>
        <v>#REF!</v>
      </c>
      <c r="I126" s="54" t="e">
        <f t="shared" ref="I69:I132" si="6">H126/C126-1</f>
        <v>#REF!</v>
      </c>
      <c r="J126" s="48">
        <v>0</v>
      </c>
      <c r="K126" s="52">
        <f t="shared" ref="K68:K131" si="7">IF(A126=0,(C126),(0))</f>
        <v>0</v>
      </c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53"/>
      <c r="AG126" s="53"/>
      <c r="AH126" s="53"/>
    </row>
    <row r="127" spans="1:34" x14ac:dyDescent="0.25">
      <c r="A127" s="49">
        <v>0</v>
      </c>
      <c r="B127" s="53"/>
      <c r="C127" s="53"/>
      <c r="D127" s="53"/>
      <c r="E127" s="53" t="s">
        <v>12</v>
      </c>
      <c r="F127" s="53" t="e">
        <f>VLOOKUP(E127,'Price indx'!#REF!,3,FALSE)</f>
        <v>#REF!</v>
      </c>
      <c r="G127" s="53"/>
      <c r="H127" s="52" t="e">
        <f t="shared" si="5"/>
        <v>#REF!</v>
      </c>
      <c r="I127" s="54" t="e">
        <f t="shared" si="6"/>
        <v>#REF!</v>
      </c>
      <c r="J127" s="48">
        <v>0</v>
      </c>
      <c r="K127" s="52">
        <f t="shared" si="7"/>
        <v>0</v>
      </c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53"/>
      <c r="AG127" s="53"/>
      <c r="AH127" s="53"/>
    </row>
    <row r="128" spans="1:34" x14ac:dyDescent="0.25">
      <c r="A128" s="49">
        <v>0</v>
      </c>
      <c r="B128" s="53"/>
      <c r="C128" s="53"/>
      <c r="D128" s="53"/>
      <c r="E128" s="53" t="s">
        <v>12</v>
      </c>
      <c r="F128" s="53" t="e">
        <f>VLOOKUP(E128,'Price indx'!#REF!,3,FALSE)</f>
        <v>#REF!</v>
      </c>
      <c r="G128" s="53"/>
      <c r="H128" s="52" t="e">
        <f t="shared" si="5"/>
        <v>#REF!</v>
      </c>
      <c r="I128" s="54" t="e">
        <f t="shared" si="6"/>
        <v>#REF!</v>
      </c>
      <c r="J128" s="48">
        <v>0</v>
      </c>
      <c r="K128" s="52">
        <f t="shared" si="7"/>
        <v>0</v>
      </c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53"/>
      <c r="AG128" s="53"/>
      <c r="AH128" s="53"/>
    </row>
    <row r="129" spans="1:34" x14ac:dyDescent="0.25">
      <c r="A129" s="49">
        <v>0</v>
      </c>
      <c r="B129" s="53"/>
      <c r="C129" s="53"/>
      <c r="D129" s="53"/>
      <c r="E129" s="53" t="s">
        <v>12</v>
      </c>
      <c r="F129" s="53" t="e">
        <f>VLOOKUP(E129,'Price indx'!#REF!,3,FALSE)</f>
        <v>#REF!</v>
      </c>
      <c r="G129" s="53"/>
      <c r="H129" s="52" t="e">
        <f t="shared" si="5"/>
        <v>#REF!</v>
      </c>
      <c r="I129" s="54" t="e">
        <f t="shared" si="6"/>
        <v>#REF!</v>
      </c>
      <c r="J129" s="48">
        <v>0</v>
      </c>
      <c r="K129" s="52">
        <f t="shared" si="7"/>
        <v>0</v>
      </c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53"/>
      <c r="AG129" s="53"/>
      <c r="AH129" s="53"/>
    </row>
    <row r="130" spans="1:34" x14ac:dyDescent="0.25">
      <c r="A130" s="53"/>
      <c r="B130" s="53"/>
      <c r="C130" s="53"/>
      <c r="D130" s="53"/>
      <c r="E130" s="53" t="s">
        <v>12</v>
      </c>
      <c r="F130" s="53" t="e">
        <f>VLOOKUP(E130,'Price indx'!#REF!,3,FALSE)</f>
        <v>#REF!</v>
      </c>
      <c r="G130" s="53"/>
      <c r="H130" s="52" t="e">
        <f t="shared" si="5"/>
        <v>#REF!</v>
      </c>
      <c r="I130" s="54" t="e">
        <f t="shared" si="6"/>
        <v>#REF!</v>
      </c>
      <c r="J130" s="48">
        <v>0</v>
      </c>
      <c r="K130" s="52">
        <f t="shared" si="7"/>
        <v>0</v>
      </c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53"/>
      <c r="AG130" s="53"/>
      <c r="AH130" s="53"/>
    </row>
    <row r="131" spans="1:34" x14ac:dyDescent="0.25">
      <c r="A131" s="53"/>
      <c r="B131" s="53"/>
      <c r="C131" s="53"/>
      <c r="D131" s="53"/>
      <c r="E131" s="53" t="s">
        <v>12</v>
      </c>
      <c r="F131" s="53" t="e">
        <f>VLOOKUP(E131,'Price indx'!#REF!,3,FALSE)</f>
        <v>#REF!</v>
      </c>
      <c r="G131" s="53"/>
      <c r="H131" s="52" t="e">
        <f t="shared" si="5"/>
        <v>#REF!</v>
      </c>
      <c r="I131" s="54" t="e">
        <f t="shared" si="6"/>
        <v>#REF!</v>
      </c>
      <c r="J131" s="48">
        <v>0</v>
      </c>
      <c r="K131" s="52">
        <f t="shared" si="7"/>
        <v>0</v>
      </c>
      <c r="L131" s="53"/>
      <c r="M131" s="53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53"/>
      <c r="AG131" s="53"/>
      <c r="AH131" s="53"/>
    </row>
    <row r="132" spans="1:34" x14ac:dyDescent="0.25">
      <c r="A132" s="53"/>
      <c r="B132" s="53"/>
      <c r="C132" s="53"/>
      <c r="D132" s="53"/>
      <c r="E132" s="53" t="s">
        <v>12</v>
      </c>
      <c r="F132" s="53" t="e">
        <f>VLOOKUP(E132,'Price indx'!#REF!,3,FALSE)</f>
        <v>#REF!</v>
      </c>
      <c r="G132" s="53"/>
      <c r="H132" s="52" t="e">
        <f t="shared" si="5"/>
        <v>#REF!</v>
      </c>
      <c r="I132" s="54" t="e">
        <f t="shared" si="6"/>
        <v>#REF!</v>
      </c>
      <c r="J132" s="48">
        <v>0</v>
      </c>
      <c r="K132" s="52">
        <f t="shared" ref="K132:K195" si="8">IF(A132=0,(C132),(0))</f>
        <v>0</v>
      </c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53"/>
      <c r="AG132" s="53"/>
      <c r="AH132" s="53"/>
    </row>
    <row r="133" spans="1:34" x14ac:dyDescent="0.25">
      <c r="A133" s="53"/>
      <c r="B133" s="53"/>
      <c r="C133" s="53"/>
      <c r="D133" s="53"/>
      <c r="E133" s="53" t="s">
        <v>12</v>
      </c>
      <c r="F133" s="53" t="e">
        <f>VLOOKUP(E133,'Price indx'!#REF!,3,FALSE)</f>
        <v>#REF!</v>
      </c>
      <c r="G133" s="53"/>
      <c r="H133" s="52" t="e">
        <f t="shared" ref="H133:H196" si="9">G133*F133</f>
        <v>#REF!</v>
      </c>
      <c r="I133" s="54" t="e">
        <f t="shared" ref="I133:I196" si="10">H133/C133-1</f>
        <v>#REF!</v>
      </c>
      <c r="J133" s="48">
        <v>0</v>
      </c>
      <c r="K133" s="52">
        <f t="shared" si="8"/>
        <v>0</v>
      </c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53"/>
      <c r="AG133" s="53"/>
      <c r="AH133" s="53"/>
    </row>
    <row r="134" spans="1:34" x14ac:dyDescent="0.25">
      <c r="A134" s="53"/>
      <c r="B134" s="53"/>
      <c r="C134" s="53"/>
      <c r="D134" s="53"/>
      <c r="E134" s="53" t="s">
        <v>12</v>
      </c>
      <c r="F134" s="53" t="e">
        <f>VLOOKUP(E134,'Price indx'!#REF!,3,FALSE)</f>
        <v>#REF!</v>
      </c>
      <c r="G134" s="53"/>
      <c r="H134" s="52" t="e">
        <f t="shared" si="9"/>
        <v>#REF!</v>
      </c>
      <c r="I134" s="54" t="e">
        <f t="shared" si="10"/>
        <v>#REF!</v>
      </c>
      <c r="J134" s="48">
        <v>0</v>
      </c>
      <c r="K134" s="52">
        <f t="shared" si="8"/>
        <v>0</v>
      </c>
      <c r="L134" s="53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53"/>
      <c r="AG134" s="53"/>
      <c r="AH134" s="53"/>
    </row>
    <row r="135" spans="1:34" x14ac:dyDescent="0.25">
      <c r="A135" s="53"/>
      <c r="B135" s="53"/>
      <c r="C135" s="53"/>
      <c r="D135" s="53"/>
      <c r="E135" s="53" t="s">
        <v>12</v>
      </c>
      <c r="F135" s="53" t="e">
        <f>VLOOKUP(E135,'Price indx'!#REF!,3,FALSE)</f>
        <v>#REF!</v>
      </c>
      <c r="G135" s="53"/>
      <c r="H135" s="52" t="e">
        <f t="shared" si="9"/>
        <v>#REF!</v>
      </c>
      <c r="I135" s="54" t="e">
        <f t="shared" si="10"/>
        <v>#REF!</v>
      </c>
      <c r="J135" s="48">
        <v>0</v>
      </c>
      <c r="K135" s="52">
        <f t="shared" si="8"/>
        <v>0</v>
      </c>
      <c r="L135" s="53"/>
      <c r="M135" s="53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53"/>
      <c r="AG135" s="53"/>
      <c r="AH135" s="53"/>
    </row>
    <row r="136" spans="1:34" x14ac:dyDescent="0.25">
      <c r="A136" s="53"/>
      <c r="B136" s="53"/>
      <c r="C136" s="53"/>
      <c r="D136" s="53"/>
      <c r="E136" s="53" t="s">
        <v>12</v>
      </c>
      <c r="F136" s="53" t="e">
        <f>VLOOKUP(E136,'Price indx'!#REF!,3,FALSE)</f>
        <v>#REF!</v>
      </c>
      <c r="G136" s="53"/>
      <c r="H136" s="52" t="e">
        <f t="shared" si="9"/>
        <v>#REF!</v>
      </c>
      <c r="I136" s="54" t="e">
        <f t="shared" si="10"/>
        <v>#REF!</v>
      </c>
      <c r="J136" s="48">
        <v>0</v>
      </c>
      <c r="K136" s="52">
        <f t="shared" si="8"/>
        <v>0</v>
      </c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53"/>
      <c r="AG136" s="53"/>
      <c r="AH136" s="53"/>
    </row>
    <row r="137" spans="1:34" x14ac:dyDescent="0.25">
      <c r="A137" s="53"/>
      <c r="B137" s="53"/>
      <c r="C137" s="53"/>
      <c r="D137" s="53"/>
      <c r="E137" s="53" t="s">
        <v>12</v>
      </c>
      <c r="F137" s="53" t="e">
        <f>VLOOKUP(E137,'Price indx'!#REF!,3,FALSE)</f>
        <v>#REF!</v>
      </c>
      <c r="G137" s="53"/>
      <c r="H137" s="52" t="e">
        <f t="shared" si="9"/>
        <v>#REF!</v>
      </c>
      <c r="I137" s="54" t="e">
        <f t="shared" si="10"/>
        <v>#REF!</v>
      </c>
      <c r="J137" s="48">
        <v>0</v>
      </c>
      <c r="K137" s="52">
        <f t="shared" si="8"/>
        <v>0</v>
      </c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53"/>
      <c r="AG137" s="53"/>
      <c r="AH137" s="53"/>
    </row>
    <row r="138" spans="1:34" x14ac:dyDescent="0.25">
      <c r="A138" s="53"/>
      <c r="B138" s="53"/>
      <c r="C138" s="53"/>
      <c r="D138" s="53"/>
      <c r="E138" s="53" t="s">
        <v>12</v>
      </c>
      <c r="F138" s="53" t="e">
        <f>VLOOKUP(E138,'Price indx'!#REF!,3,FALSE)</f>
        <v>#REF!</v>
      </c>
      <c r="G138" s="53"/>
      <c r="H138" s="52" t="e">
        <f t="shared" si="9"/>
        <v>#REF!</v>
      </c>
      <c r="I138" s="54" t="e">
        <f t="shared" si="10"/>
        <v>#REF!</v>
      </c>
      <c r="J138" s="48">
        <v>0</v>
      </c>
      <c r="K138" s="52">
        <f t="shared" si="8"/>
        <v>0</v>
      </c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53"/>
      <c r="AG138" s="53"/>
      <c r="AH138" s="53"/>
    </row>
    <row r="139" spans="1:34" x14ac:dyDescent="0.25">
      <c r="A139" s="53"/>
      <c r="B139" s="53"/>
      <c r="C139" s="53"/>
      <c r="D139" s="53"/>
      <c r="E139" s="53" t="s">
        <v>12</v>
      </c>
      <c r="F139" s="53" t="e">
        <f>VLOOKUP(E139,'Price indx'!#REF!,3,FALSE)</f>
        <v>#REF!</v>
      </c>
      <c r="G139" s="53"/>
      <c r="H139" s="52" t="e">
        <f t="shared" si="9"/>
        <v>#REF!</v>
      </c>
      <c r="I139" s="54" t="e">
        <f t="shared" si="10"/>
        <v>#REF!</v>
      </c>
      <c r="J139" s="48">
        <v>0</v>
      </c>
      <c r="K139" s="52">
        <f t="shared" si="8"/>
        <v>0</v>
      </c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53"/>
      <c r="AG139" s="53"/>
      <c r="AH139" s="53"/>
    </row>
    <row r="140" spans="1:34" x14ac:dyDescent="0.25">
      <c r="A140" s="53"/>
      <c r="B140" s="53"/>
      <c r="C140" s="53"/>
      <c r="D140" s="53"/>
      <c r="E140" s="53" t="s">
        <v>12</v>
      </c>
      <c r="F140" s="53" t="e">
        <f>VLOOKUP(E140,'Price indx'!#REF!,3,FALSE)</f>
        <v>#REF!</v>
      </c>
      <c r="G140" s="53"/>
      <c r="H140" s="52" t="e">
        <f t="shared" si="9"/>
        <v>#REF!</v>
      </c>
      <c r="I140" s="54" t="e">
        <f t="shared" si="10"/>
        <v>#REF!</v>
      </c>
      <c r="J140" s="48">
        <v>0</v>
      </c>
      <c r="K140" s="52">
        <f t="shared" si="8"/>
        <v>0</v>
      </c>
      <c r="L140" s="53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53"/>
      <c r="AG140" s="53"/>
      <c r="AH140" s="53"/>
    </row>
    <row r="141" spans="1:34" x14ac:dyDescent="0.25">
      <c r="A141" s="53"/>
      <c r="B141" s="53"/>
      <c r="C141" s="53"/>
      <c r="D141" s="53"/>
      <c r="E141" s="53" t="s">
        <v>12</v>
      </c>
      <c r="F141" s="53" t="e">
        <f>VLOOKUP(E141,'Price indx'!#REF!,3,FALSE)</f>
        <v>#REF!</v>
      </c>
      <c r="G141" s="53"/>
      <c r="H141" s="52" t="e">
        <f t="shared" si="9"/>
        <v>#REF!</v>
      </c>
      <c r="I141" s="54" t="e">
        <f t="shared" si="10"/>
        <v>#REF!</v>
      </c>
      <c r="J141" s="48">
        <v>0</v>
      </c>
      <c r="K141" s="52">
        <f t="shared" si="8"/>
        <v>0</v>
      </c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</row>
    <row r="142" spans="1:34" x14ac:dyDescent="0.25">
      <c r="A142" s="53"/>
      <c r="B142" s="53"/>
      <c r="C142" s="53"/>
      <c r="D142" s="53"/>
      <c r="E142" s="53" t="s">
        <v>12</v>
      </c>
      <c r="F142" s="53" t="e">
        <f>VLOOKUP(E142,'Price indx'!#REF!,3,FALSE)</f>
        <v>#REF!</v>
      </c>
      <c r="G142" s="53"/>
      <c r="H142" s="52" t="e">
        <f t="shared" si="9"/>
        <v>#REF!</v>
      </c>
      <c r="I142" s="54" t="e">
        <f t="shared" si="10"/>
        <v>#REF!</v>
      </c>
      <c r="J142" s="48">
        <v>0</v>
      </c>
      <c r="K142" s="52">
        <f t="shared" si="8"/>
        <v>0</v>
      </c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53"/>
      <c r="AG142" s="53"/>
      <c r="AH142" s="53"/>
    </row>
    <row r="143" spans="1:34" x14ac:dyDescent="0.25">
      <c r="A143" s="53"/>
      <c r="B143" s="53"/>
      <c r="C143" s="53"/>
      <c r="D143" s="53"/>
      <c r="E143" s="53" t="s">
        <v>12</v>
      </c>
      <c r="F143" s="53" t="e">
        <f>VLOOKUP(E143,'Price indx'!#REF!,3,FALSE)</f>
        <v>#REF!</v>
      </c>
      <c r="G143" s="53"/>
      <c r="H143" s="52" t="e">
        <f t="shared" si="9"/>
        <v>#REF!</v>
      </c>
      <c r="I143" s="54" t="e">
        <f t="shared" si="10"/>
        <v>#REF!</v>
      </c>
      <c r="J143" s="48">
        <v>0</v>
      </c>
      <c r="K143" s="52">
        <f t="shared" si="8"/>
        <v>0</v>
      </c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53"/>
      <c r="AG143" s="53"/>
      <c r="AH143" s="53"/>
    </row>
    <row r="144" spans="1:34" x14ac:dyDescent="0.25">
      <c r="A144" s="53"/>
      <c r="B144" s="53"/>
      <c r="C144" s="53"/>
      <c r="D144" s="53"/>
      <c r="E144" s="53" t="s">
        <v>12</v>
      </c>
      <c r="F144" s="53" t="e">
        <f>VLOOKUP(E144,'Price indx'!#REF!,3,FALSE)</f>
        <v>#REF!</v>
      </c>
      <c r="G144" s="53"/>
      <c r="H144" s="52" t="e">
        <f t="shared" si="9"/>
        <v>#REF!</v>
      </c>
      <c r="I144" s="54" t="e">
        <f t="shared" si="10"/>
        <v>#REF!</v>
      </c>
      <c r="J144" s="48">
        <v>0</v>
      </c>
      <c r="K144" s="52">
        <f t="shared" si="8"/>
        <v>0</v>
      </c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53"/>
      <c r="AG144" s="53"/>
      <c r="AH144" s="53"/>
    </row>
    <row r="145" spans="1:34" x14ac:dyDescent="0.25">
      <c r="A145" s="53"/>
      <c r="B145" s="53"/>
      <c r="C145" s="53"/>
      <c r="D145" s="53"/>
      <c r="E145" s="53" t="s">
        <v>12</v>
      </c>
      <c r="F145" s="53" t="e">
        <f>VLOOKUP(E145,'Price indx'!#REF!,3,FALSE)</f>
        <v>#REF!</v>
      </c>
      <c r="G145" s="53"/>
      <c r="H145" s="52" t="e">
        <f t="shared" si="9"/>
        <v>#REF!</v>
      </c>
      <c r="I145" s="54" t="e">
        <f t="shared" si="10"/>
        <v>#REF!</v>
      </c>
      <c r="J145" s="48">
        <v>0</v>
      </c>
      <c r="K145" s="52">
        <f t="shared" si="8"/>
        <v>0</v>
      </c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53"/>
      <c r="AG145" s="53"/>
      <c r="AH145" s="53"/>
    </row>
    <row r="146" spans="1:34" x14ac:dyDescent="0.25">
      <c r="A146" s="53"/>
      <c r="B146" s="53"/>
      <c r="C146" s="53"/>
      <c r="D146" s="53"/>
      <c r="E146" s="53" t="s">
        <v>12</v>
      </c>
      <c r="F146" s="53" t="e">
        <f>VLOOKUP(E146,'Price indx'!#REF!,3,FALSE)</f>
        <v>#REF!</v>
      </c>
      <c r="G146" s="53"/>
      <c r="H146" s="52" t="e">
        <f t="shared" si="9"/>
        <v>#REF!</v>
      </c>
      <c r="I146" s="54" t="e">
        <f t="shared" si="10"/>
        <v>#REF!</v>
      </c>
      <c r="J146" s="48">
        <v>0</v>
      </c>
      <c r="K146" s="52">
        <f t="shared" si="8"/>
        <v>0</v>
      </c>
      <c r="L146" s="53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53"/>
      <c r="AG146" s="53"/>
      <c r="AH146" s="53"/>
    </row>
    <row r="147" spans="1:34" x14ac:dyDescent="0.25">
      <c r="A147" s="53"/>
      <c r="B147" s="53"/>
      <c r="C147" s="53"/>
      <c r="D147" s="53"/>
      <c r="E147" s="53" t="s">
        <v>12</v>
      </c>
      <c r="F147" s="53" t="e">
        <f>VLOOKUP(E147,'Price indx'!#REF!,3,FALSE)</f>
        <v>#REF!</v>
      </c>
      <c r="G147" s="53"/>
      <c r="H147" s="52" t="e">
        <f t="shared" si="9"/>
        <v>#REF!</v>
      </c>
      <c r="I147" s="54" t="e">
        <f t="shared" si="10"/>
        <v>#REF!</v>
      </c>
      <c r="J147" s="48">
        <v>0</v>
      </c>
      <c r="K147" s="52">
        <f t="shared" si="8"/>
        <v>0</v>
      </c>
      <c r="L147" s="53"/>
      <c r="M147" s="53"/>
      <c r="N147" s="5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</row>
    <row r="148" spans="1:34" x14ac:dyDescent="0.25">
      <c r="A148" s="53"/>
      <c r="B148" s="53"/>
      <c r="C148" s="53"/>
      <c r="D148" s="53"/>
      <c r="E148" s="53" t="s">
        <v>12</v>
      </c>
      <c r="F148" s="53" t="e">
        <f>VLOOKUP(E148,'Price indx'!#REF!,3,FALSE)</f>
        <v>#REF!</v>
      </c>
      <c r="G148" s="53"/>
      <c r="H148" s="52" t="e">
        <f t="shared" si="9"/>
        <v>#REF!</v>
      </c>
      <c r="I148" s="54" t="e">
        <f t="shared" si="10"/>
        <v>#REF!</v>
      </c>
      <c r="J148" s="48">
        <v>0</v>
      </c>
      <c r="K148" s="52">
        <f t="shared" si="8"/>
        <v>0</v>
      </c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53"/>
      <c r="AG148" s="53"/>
      <c r="AH148" s="53"/>
    </row>
    <row r="149" spans="1:34" x14ac:dyDescent="0.25">
      <c r="A149" s="53"/>
      <c r="B149" s="53"/>
      <c r="C149" s="53"/>
      <c r="D149" s="53"/>
      <c r="E149" s="53" t="s">
        <v>12</v>
      </c>
      <c r="F149" s="53" t="e">
        <f>VLOOKUP(E149,'Price indx'!#REF!,3,FALSE)</f>
        <v>#REF!</v>
      </c>
      <c r="G149" s="53"/>
      <c r="H149" s="52" t="e">
        <f t="shared" si="9"/>
        <v>#REF!</v>
      </c>
      <c r="I149" s="54" t="e">
        <f t="shared" si="10"/>
        <v>#REF!</v>
      </c>
      <c r="J149" s="48">
        <v>0</v>
      </c>
      <c r="K149" s="52">
        <f t="shared" si="8"/>
        <v>0</v>
      </c>
      <c r="L149" s="53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53"/>
      <c r="AG149" s="53"/>
      <c r="AH149" s="53"/>
    </row>
    <row r="150" spans="1:34" x14ac:dyDescent="0.25">
      <c r="A150" s="53"/>
      <c r="B150" s="53"/>
      <c r="C150" s="53"/>
      <c r="D150" s="53"/>
      <c r="E150" s="53" t="s">
        <v>12</v>
      </c>
      <c r="F150" s="53" t="e">
        <f>VLOOKUP(E150,'Price indx'!#REF!,3,FALSE)</f>
        <v>#REF!</v>
      </c>
      <c r="G150" s="53"/>
      <c r="H150" s="52" t="e">
        <f t="shared" si="9"/>
        <v>#REF!</v>
      </c>
      <c r="I150" s="54" t="e">
        <f t="shared" si="10"/>
        <v>#REF!</v>
      </c>
      <c r="J150" s="48">
        <v>0</v>
      </c>
      <c r="K150" s="52">
        <f t="shared" si="8"/>
        <v>0</v>
      </c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53"/>
      <c r="AG150" s="53"/>
      <c r="AH150" s="53"/>
    </row>
    <row r="151" spans="1:34" x14ac:dyDescent="0.25">
      <c r="A151" s="53"/>
      <c r="B151" s="53"/>
      <c r="C151" s="53"/>
      <c r="D151" s="53"/>
      <c r="E151" s="53" t="s">
        <v>12</v>
      </c>
      <c r="F151" s="53" t="e">
        <f>VLOOKUP(E151,'Price indx'!#REF!,3,FALSE)</f>
        <v>#REF!</v>
      </c>
      <c r="G151" s="53"/>
      <c r="H151" s="52" t="e">
        <f t="shared" si="9"/>
        <v>#REF!</v>
      </c>
      <c r="I151" s="54" t="e">
        <f t="shared" si="10"/>
        <v>#REF!</v>
      </c>
      <c r="J151" s="48">
        <v>0</v>
      </c>
      <c r="K151" s="52">
        <f t="shared" si="8"/>
        <v>0</v>
      </c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53"/>
      <c r="AG151" s="53"/>
      <c r="AH151" s="53"/>
    </row>
    <row r="152" spans="1:34" x14ac:dyDescent="0.25">
      <c r="A152" s="53"/>
      <c r="B152" s="53"/>
      <c r="C152" s="53"/>
      <c r="D152" s="53"/>
      <c r="E152" s="53" t="s">
        <v>12</v>
      </c>
      <c r="F152" s="53" t="e">
        <f>VLOOKUP(E152,'Price indx'!#REF!,3,FALSE)</f>
        <v>#REF!</v>
      </c>
      <c r="G152" s="53"/>
      <c r="H152" s="52" t="e">
        <f t="shared" si="9"/>
        <v>#REF!</v>
      </c>
      <c r="I152" s="54" t="e">
        <f t="shared" si="10"/>
        <v>#REF!</v>
      </c>
      <c r="J152" s="48">
        <v>0</v>
      </c>
      <c r="K152" s="52">
        <f t="shared" si="8"/>
        <v>0</v>
      </c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53"/>
      <c r="AG152" s="53"/>
      <c r="AH152" s="53"/>
    </row>
    <row r="153" spans="1:34" x14ac:dyDescent="0.25">
      <c r="A153" s="53"/>
      <c r="B153" s="53"/>
      <c r="C153" s="53"/>
      <c r="D153" s="53"/>
      <c r="E153" s="53" t="s">
        <v>12</v>
      </c>
      <c r="F153" s="53" t="e">
        <f>VLOOKUP(E153,'Price indx'!#REF!,3,FALSE)</f>
        <v>#REF!</v>
      </c>
      <c r="G153" s="53"/>
      <c r="H153" s="52" t="e">
        <f t="shared" si="9"/>
        <v>#REF!</v>
      </c>
      <c r="I153" s="54" t="e">
        <f t="shared" si="10"/>
        <v>#REF!</v>
      </c>
      <c r="J153" s="48">
        <v>0</v>
      </c>
      <c r="K153" s="52">
        <f t="shared" si="8"/>
        <v>0</v>
      </c>
      <c r="L153" s="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53"/>
      <c r="AG153" s="53"/>
      <c r="AH153" s="53"/>
    </row>
    <row r="154" spans="1:34" x14ac:dyDescent="0.25">
      <c r="A154" s="53"/>
      <c r="B154" s="53"/>
      <c r="C154" s="53"/>
      <c r="D154" s="53"/>
      <c r="E154" s="53" t="s">
        <v>12</v>
      </c>
      <c r="F154" s="53" t="e">
        <f>VLOOKUP(E154,'Price indx'!#REF!,3,FALSE)</f>
        <v>#REF!</v>
      </c>
      <c r="G154" s="53"/>
      <c r="H154" s="52" t="e">
        <f t="shared" si="9"/>
        <v>#REF!</v>
      </c>
      <c r="I154" s="54" t="e">
        <f t="shared" si="10"/>
        <v>#REF!</v>
      </c>
      <c r="J154" s="48">
        <v>0</v>
      </c>
      <c r="K154" s="52">
        <f t="shared" si="8"/>
        <v>0</v>
      </c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53"/>
      <c r="AG154" s="53"/>
      <c r="AH154" s="53"/>
    </row>
    <row r="155" spans="1:34" x14ac:dyDescent="0.25">
      <c r="A155" s="53"/>
      <c r="B155" s="53"/>
      <c r="C155" s="53"/>
      <c r="D155" s="53"/>
      <c r="E155" s="53" t="s">
        <v>12</v>
      </c>
      <c r="F155" s="53" t="e">
        <f>VLOOKUP(E155,'Price indx'!#REF!,3,FALSE)</f>
        <v>#REF!</v>
      </c>
      <c r="G155" s="53"/>
      <c r="H155" s="52" t="e">
        <f t="shared" si="9"/>
        <v>#REF!</v>
      </c>
      <c r="I155" s="54" t="e">
        <f t="shared" si="10"/>
        <v>#REF!</v>
      </c>
      <c r="J155" s="48">
        <v>0</v>
      </c>
      <c r="K155" s="52">
        <f t="shared" si="8"/>
        <v>0</v>
      </c>
      <c r="L155" s="53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53"/>
      <c r="AG155" s="53"/>
      <c r="AH155" s="53"/>
    </row>
    <row r="156" spans="1:34" x14ac:dyDescent="0.25">
      <c r="A156" s="53"/>
      <c r="B156" s="53"/>
      <c r="C156" s="53"/>
      <c r="D156" s="53"/>
      <c r="E156" s="53" t="s">
        <v>12</v>
      </c>
      <c r="F156" s="53" t="e">
        <f>VLOOKUP(E156,'Price indx'!#REF!,3,FALSE)</f>
        <v>#REF!</v>
      </c>
      <c r="G156" s="53"/>
      <c r="H156" s="52" t="e">
        <f t="shared" si="9"/>
        <v>#REF!</v>
      </c>
      <c r="I156" s="54" t="e">
        <f t="shared" si="10"/>
        <v>#REF!</v>
      </c>
      <c r="J156" s="48">
        <v>0</v>
      </c>
      <c r="K156" s="52">
        <f t="shared" si="8"/>
        <v>0</v>
      </c>
      <c r="L156" s="53"/>
      <c r="M156" s="53"/>
      <c r="N156" s="53"/>
      <c r="O156" s="53"/>
      <c r="P156" s="53"/>
      <c r="Q156" s="53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53"/>
      <c r="AG156" s="53"/>
      <c r="AH156" s="53"/>
    </row>
    <row r="157" spans="1:34" x14ac:dyDescent="0.25">
      <c r="A157" s="53"/>
      <c r="B157" s="53"/>
      <c r="C157" s="53"/>
      <c r="D157" s="53"/>
      <c r="E157" s="53" t="s">
        <v>12</v>
      </c>
      <c r="F157" s="53" t="e">
        <f>VLOOKUP(E157,'Price indx'!#REF!,3,FALSE)</f>
        <v>#REF!</v>
      </c>
      <c r="G157" s="53"/>
      <c r="H157" s="52" t="e">
        <f t="shared" si="9"/>
        <v>#REF!</v>
      </c>
      <c r="I157" s="54" t="e">
        <f t="shared" si="10"/>
        <v>#REF!</v>
      </c>
      <c r="J157" s="48">
        <v>0</v>
      </c>
      <c r="K157" s="52">
        <f t="shared" si="8"/>
        <v>0</v>
      </c>
      <c r="L157" s="53"/>
      <c r="M157" s="53"/>
      <c r="N157" s="53"/>
      <c r="O157" s="53"/>
      <c r="P157" s="53"/>
      <c r="Q157" s="53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53"/>
      <c r="AG157" s="53"/>
      <c r="AH157" s="53"/>
    </row>
    <row r="158" spans="1:34" x14ac:dyDescent="0.25">
      <c r="A158" s="53"/>
      <c r="B158" s="53"/>
      <c r="C158" s="53"/>
      <c r="D158" s="53"/>
      <c r="E158" s="53" t="s">
        <v>12</v>
      </c>
      <c r="F158" s="53" t="e">
        <f>VLOOKUP(E158,'Price indx'!#REF!,3,FALSE)</f>
        <v>#REF!</v>
      </c>
      <c r="G158" s="53"/>
      <c r="H158" s="52" t="e">
        <f t="shared" si="9"/>
        <v>#REF!</v>
      </c>
      <c r="I158" s="54" t="e">
        <f t="shared" si="10"/>
        <v>#REF!</v>
      </c>
      <c r="J158" s="48">
        <v>0</v>
      </c>
      <c r="K158" s="52">
        <f t="shared" si="8"/>
        <v>0</v>
      </c>
      <c r="L158" s="53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53"/>
      <c r="AG158" s="53"/>
      <c r="AH158" s="53"/>
    </row>
    <row r="159" spans="1:34" x14ac:dyDescent="0.25">
      <c r="A159" s="53"/>
      <c r="B159" s="53"/>
      <c r="C159" s="53"/>
      <c r="D159" s="53"/>
      <c r="E159" s="53" t="s">
        <v>12</v>
      </c>
      <c r="F159" s="53" t="e">
        <f>VLOOKUP(E159,'Price indx'!#REF!,3,FALSE)</f>
        <v>#REF!</v>
      </c>
      <c r="G159" s="53"/>
      <c r="H159" s="52" t="e">
        <f t="shared" si="9"/>
        <v>#REF!</v>
      </c>
      <c r="I159" s="54" t="e">
        <f t="shared" si="10"/>
        <v>#REF!</v>
      </c>
      <c r="J159" s="48">
        <v>0</v>
      </c>
      <c r="K159" s="52">
        <f t="shared" si="8"/>
        <v>0</v>
      </c>
      <c r="L159" s="53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53"/>
      <c r="AG159" s="53"/>
      <c r="AH159" s="53"/>
    </row>
    <row r="160" spans="1:34" x14ac:dyDescent="0.25">
      <c r="A160" s="53"/>
      <c r="B160" s="53"/>
      <c r="C160" s="53"/>
      <c r="D160" s="53"/>
      <c r="E160" s="53" t="s">
        <v>12</v>
      </c>
      <c r="F160" s="53" t="e">
        <f>VLOOKUP(E160,'Price indx'!#REF!,3,FALSE)</f>
        <v>#REF!</v>
      </c>
      <c r="G160" s="53"/>
      <c r="H160" s="52" t="e">
        <f t="shared" si="9"/>
        <v>#REF!</v>
      </c>
      <c r="I160" s="54" t="e">
        <f t="shared" si="10"/>
        <v>#REF!</v>
      </c>
      <c r="J160" s="48">
        <v>0</v>
      </c>
      <c r="K160" s="52">
        <f t="shared" si="8"/>
        <v>0</v>
      </c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53"/>
      <c r="AG160" s="53"/>
      <c r="AH160" s="53"/>
    </row>
    <row r="161" spans="1:34" x14ac:dyDescent="0.25">
      <c r="A161" s="53"/>
      <c r="B161" s="53"/>
      <c r="C161" s="53"/>
      <c r="D161" s="53"/>
      <c r="E161" s="53" t="s">
        <v>12</v>
      </c>
      <c r="F161" s="53" t="e">
        <f>VLOOKUP(E161,'Price indx'!#REF!,3,FALSE)</f>
        <v>#REF!</v>
      </c>
      <c r="G161" s="53"/>
      <c r="H161" s="52" t="e">
        <f t="shared" si="9"/>
        <v>#REF!</v>
      </c>
      <c r="I161" s="54" t="e">
        <f t="shared" si="10"/>
        <v>#REF!</v>
      </c>
      <c r="J161" s="48">
        <v>0</v>
      </c>
      <c r="K161" s="52">
        <f t="shared" si="8"/>
        <v>0</v>
      </c>
      <c r="L161" s="53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53"/>
      <c r="AG161" s="53"/>
      <c r="AH161" s="53"/>
    </row>
    <row r="162" spans="1:34" x14ac:dyDescent="0.25">
      <c r="A162" s="53"/>
      <c r="B162" s="53"/>
      <c r="C162" s="53"/>
      <c r="D162" s="53"/>
      <c r="E162" s="53" t="s">
        <v>12</v>
      </c>
      <c r="F162" s="53" t="e">
        <f>VLOOKUP(E162,'Price indx'!#REF!,3,FALSE)</f>
        <v>#REF!</v>
      </c>
      <c r="G162" s="53"/>
      <c r="H162" s="52" t="e">
        <f t="shared" si="9"/>
        <v>#REF!</v>
      </c>
      <c r="I162" s="54" t="e">
        <f t="shared" si="10"/>
        <v>#REF!</v>
      </c>
      <c r="J162" s="48">
        <v>0</v>
      </c>
      <c r="K162" s="52">
        <f t="shared" si="8"/>
        <v>0</v>
      </c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53"/>
      <c r="AG162" s="53"/>
      <c r="AH162" s="53"/>
    </row>
    <row r="163" spans="1:34" x14ac:dyDescent="0.25">
      <c r="A163" s="53"/>
      <c r="B163" s="53"/>
      <c r="C163" s="53"/>
      <c r="D163" s="53"/>
      <c r="E163" s="53" t="s">
        <v>12</v>
      </c>
      <c r="F163" s="53" t="e">
        <f>VLOOKUP(E163,'Price indx'!#REF!,3,FALSE)</f>
        <v>#REF!</v>
      </c>
      <c r="G163" s="53"/>
      <c r="H163" s="52" t="e">
        <f t="shared" si="9"/>
        <v>#REF!</v>
      </c>
      <c r="I163" s="54" t="e">
        <f t="shared" si="10"/>
        <v>#REF!</v>
      </c>
      <c r="J163" s="48">
        <v>0</v>
      </c>
      <c r="K163" s="52">
        <f t="shared" si="8"/>
        <v>0</v>
      </c>
      <c r="L163" s="53"/>
      <c r="M163" s="53"/>
      <c r="N163" s="53"/>
      <c r="O163" s="53"/>
      <c r="P163" s="53"/>
      <c r="Q163" s="53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53"/>
      <c r="AG163" s="53"/>
      <c r="AH163" s="53"/>
    </row>
    <row r="164" spans="1:34" x14ac:dyDescent="0.25">
      <c r="A164" s="53"/>
      <c r="B164" s="53"/>
      <c r="C164" s="53"/>
      <c r="D164" s="53"/>
      <c r="E164" s="53" t="s">
        <v>12</v>
      </c>
      <c r="F164" s="53" t="e">
        <f>VLOOKUP(E164,'Price indx'!#REF!,3,FALSE)</f>
        <v>#REF!</v>
      </c>
      <c r="G164" s="53"/>
      <c r="H164" s="52" t="e">
        <f t="shared" si="9"/>
        <v>#REF!</v>
      </c>
      <c r="I164" s="54" t="e">
        <f t="shared" si="10"/>
        <v>#REF!</v>
      </c>
      <c r="J164" s="48">
        <v>0</v>
      </c>
      <c r="K164" s="52">
        <f t="shared" si="8"/>
        <v>0</v>
      </c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53"/>
      <c r="AG164" s="53"/>
      <c r="AH164" s="53"/>
    </row>
    <row r="165" spans="1:34" x14ac:dyDescent="0.25">
      <c r="A165" s="53"/>
      <c r="B165" s="53"/>
      <c r="C165" s="53"/>
      <c r="D165" s="53"/>
      <c r="E165" s="53" t="s">
        <v>12</v>
      </c>
      <c r="F165" s="53" t="e">
        <f>VLOOKUP(E165,'Price indx'!#REF!,3,FALSE)</f>
        <v>#REF!</v>
      </c>
      <c r="G165" s="53"/>
      <c r="H165" s="52" t="e">
        <f t="shared" si="9"/>
        <v>#REF!</v>
      </c>
      <c r="I165" s="54" t="e">
        <f t="shared" si="10"/>
        <v>#REF!</v>
      </c>
      <c r="J165" s="48">
        <v>0</v>
      </c>
      <c r="K165" s="52">
        <f t="shared" si="8"/>
        <v>0</v>
      </c>
      <c r="L165" s="53"/>
      <c r="M165" s="53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53"/>
      <c r="AG165" s="53"/>
      <c r="AH165" s="53"/>
    </row>
    <row r="166" spans="1:34" x14ac:dyDescent="0.25">
      <c r="A166" s="53"/>
      <c r="B166" s="53"/>
      <c r="C166" s="53"/>
      <c r="D166" s="53"/>
      <c r="E166" s="53" t="s">
        <v>12</v>
      </c>
      <c r="F166" s="53" t="e">
        <f>VLOOKUP(E166,'Price indx'!#REF!,3,FALSE)</f>
        <v>#REF!</v>
      </c>
      <c r="G166" s="53"/>
      <c r="H166" s="52" t="e">
        <f t="shared" si="9"/>
        <v>#REF!</v>
      </c>
      <c r="I166" s="54" t="e">
        <f t="shared" si="10"/>
        <v>#REF!</v>
      </c>
      <c r="J166" s="48">
        <v>0</v>
      </c>
      <c r="K166" s="52">
        <f t="shared" si="8"/>
        <v>0</v>
      </c>
      <c r="L166" s="53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53"/>
      <c r="AG166" s="53"/>
      <c r="AH166" s="53"/>
    </row>
    <row r="167" spans="1:34" x14ac:dyDescent="0.25">
      <c r="A167" s="53"/>
      <c r="B167" s="53"/>
      <c r="C167" s="53"/>
      <c r="D167" s="53"/>
      <c r="E167" s="53" t="s">
        <v>12</v>
      </c>
      <c r="F167" s="53" t="e">
        <f>VLOOKUP(E167,'Price indx'!#REF!,3,FALSE)</f>
        <v>#REF!</v>
      </c>
      <c r="G167" s="53"/>
      <c r="H167" s="52" t="e">
        <f t="shared" si="9"/>
        <v>#REF!</v>
      </c>
      <c r="I167" s="54" t="e">
        <f t="shared" si="10"/>
        <v>#REF!</v>
      </c>
      <c r="J167" s="48">
        <v>0</v>
      </c>
      <c r="K167" s="52">
        <f t="shared" si="8"/>
        <v>0</v>
      </c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53"/>
      <c r="AG167" s="53"/>
      <c r="AH167" s="53"/>
    </row>
    <row r="168" spans="1:34" x14ac:dyDescent="0.25">
      <c r="A168" s="53"/>
      <c r="B168" s="53"/>
      <c r="C168" s="53"/>
      <c r="D168" s="53"/>
      <c r="E168" s="53" t="s">
        <v>12</v>
      </c>
      <c r="F168" s="53" t="e">
        <f>VLOOKUP(E168,'Price indx'!#REF!,3,FALSE)</f>
        <v>#REF!</v>
      </c>
      <c r="G168" s="53"/>
      <c r="H168" s="52" t="e">
        <f t="shared" si="9"/>
        <v>#REF!</v>
      </c>
      <c r="I168" s="54" t="e">
        <f t="shared" si="10"/>
        <v>#REF!</v>
      </c>
      <c r="J168" s="48">
        <v>0</v>
      </c>
      <c r="K168" s="52">
        <f t="shared" si="8"/>
        <v>0</v>
      </c>
      <c r="L168" s="53"/>
      <c r="M168" s="53"/>
      <c r="N168" s="53"/>
      <c r="O168" s="53"/>
      <c r="P168" s="53"/>
      <c r="Q168" s="53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53"/>
      <c r="AG168" s="53"/>
      <c r="AH168" s="53"/>
    </row>
    <row r="169" spans="1:34" x14ac:dyDescent="0.25">
      <c r="A169" s="53"/>
      <c r="B169" s="53"/>
      <c r="C169" s="53"/>
      <c r="D169" s="53"/>
      <c r="E169" s="53" t="s">
        <v>12</v>
      </c>
      <c r="F169" s="53" t="e">
        <f>VLOOKUP(E169,'Price indx'!#REF!,3,FALSE)</f>
        <v>#REF!</v>
      </c>
      <c r="G169" s="53"/>
      <c r="H169" s="52" t="e">
        <f t="shared" si="9"/>
        <v>#REF!</v>
      </c>
      <c r="I169" s="54" t="e">
        <f t="shared" si="10"/>
        <v>#REF!</v>
      </c>
      <c r="J169" s="48">
        <v>0</v>
      </c>
      <c r="K169" s="52">
        <f t="shared" si="8"/>
        <v>0</v>
      </c>
      <c r="L169" s="53"/>
      <c r="M169" s="53"/>
      <c r="N169" s="53"/>
      <c r="O169" s="53"/>
      <c r="P169" s="53"/>
      <c r="Q169" s="53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53"/>
      <c r="AG169" s="53"/>
      <c r="AH169" s="53"/>
    </row>
    <row r="170" spans="1:34" x14ac:dyDescent="0.25">
      <c r="A170" s="53"/>
      <c r="B170" s="53"/>
      <c r="C170" s="53"/>
      <c r="D170" s="53"/>
      <c r="E170" s="53" t="s">
        <v>12</v>
      </c>
      <c r="F170" s="53" t="e">
        <f>VLOOKUP(E170,'Price indx'!#REF!,3,FALSE)</f>
        <v>#REF!</v>
      </c>
      <c r="G170" s="53"/>
      <c r="H170" s="52" t="e">
        <f t="shared" si="9"/>
        <v>#REF!</v>
      </c>
      <c r="I170" s="54" t="e">
        <f t="shared" si="10"/>
        <v>#REF!</v>
      </c>
      <c r="J170" s="48">
        <v>0</v>
      </c>
      <c r="K170" s="52">
        <f t="shared" si="8"/>
        <v>0</v>
      </c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53"/>
      <c r="AG170" s="53"/>
      <c r="AH170" s="53"/>
    </row>
    <row r="171" spans="1:34" x14ac:dyDescent="0.25">
      <c r="A171" s="53"/>
      <c r="B171" s="53"/>
      <c r="C171" s="53"/>
      <c r="D171" s="53"/>
      <c r="E171" s="53" t="s">
        <v>12</v>
      </c>
      <c r="F171" s="53" t="e">
        <f>VLOOKUP(E171,'Price indx'!#REF!,3,FALSE)</f>
        <v>#REF!</v>
      </c>
      <c r="G171" s="53"/>
      <c r="H171" s="52" t="e">
        <f t="shared" si="9"/>
        <v>#REF!</v>
      </c>
      <c r="I171" s="54" t="e">
        <f t="shared" si="10"/>
        <v>#REF!</v>
      </c>
      <c r="J171" s="48">
        <v>0</v>
      </c>
      <c r="K171" s="52">
        <f t="shared" si="8"/>
        <v>0</v>
      </c>
      <c r="L171" s="53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  <c r="AG171" s="53"/>
      <c r="AH171" s="53"/>
    </row>
    <row r="172" spans="1:34" x14ac:dyDescent="0.25">
      <c r="A172" s="53"/>
      <c r="B172" s="53"/>
      <c r="C172" s="53"/>
      <c r="D172" s="53"/>
      <c r="E172" s="53" t="s">
        <v>12</v>
      </c>
      <c r="F172" s="53" t="e">
        <f>VLOOKUP(E172,'Price indx'!#REF!,3,FALSE)</f>
        <v>#REF!</v>
      </c>
      <c r="G172" s="53"/>
      <c r="H172" s="52" t="e">
        <f t="shared" si="9"/>
        <v>#REF!</v>
      </c>
      <c r="I172" s="54" t="e">
        <f t="shared" si="10"/>
        <v>#REF!</v>
      </c>
      <c r="J172" s="48">
        <v>0</v>
      </c>
      <c r="K172" s="52">
        <f t="shared" si="8"/>
        <v>0</v>
      </c>
      <c r="L172" s="53"/>
      <c r="M172" s="53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53"/>
      <c r="AG172" s="53"/>
      <c r="AH172" s="53"/>
    </row>
    <row r="173" spans="1:34" x14ac:dyDescent="0.25">
      <c r="A173" s="53"/>
      <c r="B173" s="53"/>
      <c r="C173" s="53"/>
      <c r="D173" s="53"/>
      <c r="E173" s="53" t="s">
        <v>12</v>
      </c>
      <c r="F173" s="53" t="e">
        <f>VLOOKUP(E173,'Price indx'!#REF!,3,FALSE)</f>
        <v>#REF!</v>
      </c>
      <c r="G173" s="53"/>
      <c r="H173" s="52" t="e">
        <f t="shared" si="9"/>
        <v>#REF!</v>
      </c>
      <c r="I173" s="54" t="e">
        <f t="shared" si="10"/>
        <v>#REF!</v>
      </c>
      <c r="J173" s="48">
        <v>0</v>
      </c>
      <c r="K173" s="52">
        <f t="shared" si="8"/>
        <v>0</v>
      </c>
      <c r="L173" s="53"/>
      <c r="M173" s="53"/>
      <c r="N173" s="53"/>
      <c r="O173" s="53"/>
      <c r="P173" s="53"/>
      <c r="Q173" s="53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53"/>
      <c r="AG173" s="53"/>
      <c r="AH173" s="53"/>
    </row>
    <row r="174" spans="1:34" x14ac:dyDescent="0.25">
      <c r="A174" s="53"/>
      <c r="B174" s="53"/>
      <c r="C174" s="53"/>
      <c r="D174" s="53"/>
      <c r="E174" s="53" t="s">
        <v>12</v>
      </c>
      <c r="F174" s="53" t="e">
        <f>VLOOKUP(E174,'Price indx'!#REF!,3,FALSE)</f>
        <v>#REF!</v>
      </c>
      <c r="G174" s="53"/>
      <c r="H174" s="52" t="e">
        <f t="shared" si="9"/>
        <v>#REF!</v>
      </c>
      <c r="I174" s="54" t="e">
        <f t="shared" si="10"/>
        <v>#REF!</v>
      </c>
      <c r="J174" s="48">
        <v>0</v>
      </c>
      <c r="K174" s="52">
        <f t="shared" si="8"/>
        <v>0</v>
      </c>
      <c r="L174" s="53"/>
      <c r="M174" s="53"/>
      <c r="N174" s="53"/>
      <c r="O174" s="53"/>
      <c r="P174" s="53"/>
      <c r="Q174" s="53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53"/>
      <c r="AG174" s="53"/>
      <c r="AH174" s="53"/>
    </row>
    <row r="175" spans="1:34" x14ac:dyDescent="0.25">
      <c r="A175" s="53"/>
      <c r="B175" s="53"/>
      <c r="C175" s="53"/>
      <c r="D175" s="53"/>
      <c r="E175" s="53" t="s">
        <v>12</v>
      </c>
      <c r="F175" s="53" t="e">
        <f>VLOOKUP(E175,'Price indx'!#REF!,3,FALSE)</f>
        <v>#REF!</v>
      </c>
      <c r="G175" s="53"/>
      <c r="H175" s="52" t="e">
        <f t="shared" si="9"/>
        <v>#REF!</v>
      </c>
      <c r="I175" s="54" t="e">
        <f t="shared" si="10"/>
        <v>#REF!</v>
      </c>
      <c r="J175" s="48">
        <v>0</v>
      </c>
      <c r="K175" s="52">
        <f t="shared" si="8"/>
        <v>0</v>
      </c>
      <c r="L175" s="53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53"/>
      <c r="AG175" s="53"/>
      <c r="AH175" s="53"/>
    </row>
    <row r="176" spans="1:34" x14ac:dyDescent="0.25">
      <c r="A176" s="53"/>
      <c r="B176" s="53"/>
      <c r="C176" s="53"/>
      <c r="D176" s="53"/>
      <c r="E176" s="53" t="s">
        <v>12</v>
      </c>
      <c r="F176" s="53" t="e">
        <f>VLOOKUP(E176,'Price indx'!#REF!,3,FALSE)</f>
        <v>#REF!</v>
      </c>
      <c r="G176" s="53"/>
      <c r="H176" s="52" t="e">
        <f t="shared" si="9"/>
        <v>#REF!</v>
      </c>
      <c r="I176" s="54" t="e">
        <f t="shared" si="10"/>
        <v>#REF!</v>
      </c>
      <c r="J176" s="48">
        <v>0</v>
      </c>
      <c r="K176" s="52">
        <f t="shared" si="8"/>
        <v>0</v>
      </c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  <c r="AG176" s="53"/>
      <c r="AH176" s="53"/>
    </row>
    <row r="177" spans="1:34" x14ac:dyDescent="0.25">
      <c r="A177" s="53"/>
      <c r="B177" s="53"/>
      <c r="C177" s="53"/>
      <c r="D177" s="53"/>
      <c r="E177" s="53" t="s">
        <v>12</v>
      </c>
      <c r="F177" s="53" t="e">
        <f>VLOOKUP(E177,'Price indx'!#REF!,3,FALSE)</f>
        <v>#REF!</v>
      </c>
      <c r="G177" s="53"/>
      <c r="H177" s="52" t="e">
        <f t="shared" si="9"/>
        <v>#REF!</v>
      </c>
      <c r="I177" s="54" t="e">
        <f t="shared" si="10"/>
        <v>#REF!</v>
      </c>
      <c r="J177" s="48">
        <v>0</v>
      </c>
      <c r="K177" s="52">
        <f t="shared" si="8"/>
        <v>0</v>
      </c>
      <c r="L177" s="53"/>
      <c r="M177" s="53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53"/>
      <c r="AG177" s="53"/>
      <c r="AH177" s="53"/>
    </row>
    <row r="178" spans="1:34" x14ac:dyDescent="0.25">
      <c r="A178" s="53"/>
      <c r="B178" s="53"/>
      <c r="C178" s="53"/>
      <c r="D178" s="53"/>
      <c r="E178" s="53" t="s">
        <v>12</v>
      </c>
      <c r="F178" s="53" t="e">
        <f>VLOOKUP(E178,'Price indx'!#REF!,3,FALSE)</f>
        <v>#REF!</v>
      </c>
      <c r="G178" s="53"/>
      <c r="H178" s="52" t="e">
        <f t="shared" si="9"/>
        <v>#REF!</v>
      </c>
      <c r="I178" s="54" t="e">
        <f t="shared" si="10"/>
        <v>#REF!</v>
      </c>
      <c r="J178" s="48">
        <v>0</v>
      </c>
      <c r="K178" s="52">
        <f t="shared" si="8"/>
        <v>0</v>
      </c>
      <c r="L178" s="53"/>
      <c r="M178" s="53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53"/>
      <c r="AG178" s="53"/>
      <c r="AH178" s="53"/>
    </row>
    <row r="179" spans="1:34" x14ac:dyDescent="0.25">
      <c r="A179" s="53"/>
      <c r="B179" s="53"/>
      <c r="C179" s="53"/>
      <c r="D179" s="53"/>
      <c r="E179" s="53" t="s">
        <v>12</v>
      </c>
      <c r="F179" s="53" t="e">
        <f>VLOOKUP(E179,'Price indx'!#REF!,3,FALSE)</f>
        <v>#REF!</v>
      </c>
      <c r="G179" s="53"/>
      <c r="H179" s="52" t="e">
        <f t="shared" si="9"/>
        <v>#REF!</v>
      </c>
      <c r="I179" s="54" t="e">
        <f t="shared" si="10"/>
        <v>#REF!</v>
      </c>
      <c r="J179" s="48">
        <v>0</v>
      </c>
      <c r="K179" s="52">
        <f t="shared" si="8"/>
        <v>0</v>
      </c>
      <c r="L179" s="53"/>
      <c r="M179" s="53"/>
      <c r="N179" s="53"/>
      <c r="O179" s="53"/>
      <c r="P179" s="53"/>
      <c r="Q179" s="53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53"/>
      <c r="AG179" s="53"/>
      <c r="AH179" s="53"/>
    </row>
    <row r="180" spans="1:34" x14ac:dyDescent="0.25">
      <c r="A180" s="53"/>
      <c r="B180" s="53"/>
      <c r="C180" s="53"/>
      <c r="D180" s="53"/>
      <c r="E180" s="53" t="s">
        <v>12</v>
      </c>
      <c r="F180" s="53" t="e">
        <f>VLOOKUP(E180,'Price indx'!#REF!,3,FALSE)</f>
        <v>#REF!</v>
      </c>
      <c r="G180" s="53"/>
      <c r="H180" s="52" t="e">
        <f t="shared" si="9"/>
        <v>#REF!</v>
      </c>
      <c r="I180" s="54" t="e">
        <f t="shared" si="10"/>
        <v>#REF!</v>
      </c>
      <c r="J180" s="48">
        <v>0</v>
      </c>
      <c r="K180" s="52">
        <f t="shared" si="8"/>
        <v>0</v>
      </c>
      <c r="L180" s="53"/>
      <c r="M180" s="53"/>
      <c r="N180" s="53"/>
      <c r="O180" s="53"/>
      <c r="P180" s="53"/>
      <c r="Q180" s="53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53"/>
      <c r="AG180" s="53"/>
      <c r="AH180" s="53"/>
    </row>
    <row r="181" spans="1:34" x14ac:dyDescent="0.25">
      <c r="A181" s="53"/>
      <c r="B181" s="53"/>
      <c r="C181" s="53"/>
      <c r="D181" s="53"/>
      <c r="E181" s="53" t="s">
        <v>12</v>
      </c>
      <c r="F181" s="53" t="e">
        <f>VLOOKUP(E181,'Price indx'!#REF!,3,FALSE)</f>
        <v>#REF!</v>
      </c>
      <c r="G181" s="53"/>
      <c r="H181" s="52" t="e">
        <f t="shared" si="9"/>
        <v>#REF!</v>
      </c>
      <c r="I181" s="54" t="e">
        <f t="shared" si="10"/>
        <v>#REF!</v>
      </c>
      <c r="J181" s="48">
        <v>0</v>
      </c>
      <c r="K181" s="52">
        <f t="shared" si="8"/>
        <v>0</v>
      </c>
      <c r="L181" s="53"/>
      <c r="M181" s="53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53"/>
      <c r="AG181" s="53"/>
      <c r="AH181" s="53"/>
    </row>
    <row r="182" spans="1:34" x14ac:dyDescent="0.25">
      <c r="A182" s="53"/>
      <c r="B182" s="53"/>
      <c r="C182" s="53"/>
      <c r="D182" s="53"/>
      <c r="E182" s="53" t="s">
        <v>12</v>
      </c>
      <c r="F182" s="53" t="e">
        <f>VLOOKUP(E182,'Price indx'!#REF!,3,FALSE)</f>
        <v>#REF!</v>
      </c>
      <c r="G182" s="53"/>
      <c r="H182" s="52" t="e">
        <f t="shared" si="9"/>
        <v>#REF!</v>
      </c>
      <c r="I182" s="54" t="e">
        <f t="shared" si="10"/>
        <v>#REF!</v>
      </c>
      <c r="J182" s="48">
        <v>0</v>
      </c>
      <c r="K182" s="52">
        <f t="shared" si="8"/>
        <v>0</v>
      </c>
      <c r="L182" s="53"/>
      <c r="M182" s="53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53"/>
      <c r="AG182" s="53"/>
      <c r="AH182" s="53"/>
    </row>
    <row r="183" spans="1:34" x14ac:dyDescent="0.25">
      <c r="A183" s="53"/>
      <c r="B183" s="53"/>
      <c r="C183" s="53"/>
      <c r="D183" s="53"/>
      <c r="E183" s="53" t="s">
        <v>12</v>
      </c>
      <c r="F183" s="53" t="e">
        <f>VLOOKUP(E183,'Price indx'!#REF!,3,FALSE)</f>
        <v>#REF!</v>
      </c>
      <c r="G183" s="53"/>
      <c r="H183" s="52" t="e">
        <f t="shared" si="9"/>
        <v>#REF!</v>
      </c>
      <c r="I183" s="54" t="e">
        <f t="shared" si="10"/>
        <v>#REF!</v>
      </c>
      <c r="J183" s="48">
        <v>0</v>
      </c>
      <c r="K183" s="52">
        <f t="shared" si="8"/>
        <v>0</v>
      </c>
      <c r="L183" s="53"/>
      <c r="M183" s="53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53"/>
      <c r="AG183" s="53"/>
      <c r="AH183" s="53"/>
    </row>
    <row r="184" spans="1:34" x14ac:dyDescent="0.25">
      <c r="A184" s="53"/>
      <c r="B184" s="53"/>
      <c r="C184" s="53"/>
      <c r="D184" s="53"/>
      <c r="E184" s="53" t="s">
        <v>12</v>
      </c>
      <c r="F184" s="53" t="e">
        <f>VLOOKUP(E184,'Price indx'!#REF!,3,FALSE)</f>
        <v>#REF!</v>
      </c>
      <c r="G184" s="53"/>
      <c r="H184" s="52" t="e">
        <f t="shared" si="9"/>
        <v>#REF!</v>
      </c>
      <c r="I184" s="54" t="e">
        <f t="shared" si="10"/>
        <v>#REF!</v>
      </c>
      <c r="J184" s="48">
        <v>0</v>
      </c>
      <c r="K184" s="52">
        <f t="shared" si="8"/>
        <v>0</v>
      </c>
      <c r="L184" s="53"/>
      <c r="M184" s="53"/>
      <c r="N184" s="53"/>
      <c r="O184" s="53"/>
      <c r="P184" s="53"/>
      <c r="Q184" s="53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53"/>
      <c r="AG184" s="53"/>
      <c r="AH184" s="53"/>
    </row>
    <row r="185" spans="1:34" x14ac:dyDescent="0.25">
      <c r="A185" s="53"/>
      <c r="B185" s="53"/>
      <c r="C185" s="53"/>
      <c r="D185" s="53"/>
      <c r="E185" s="53" t="s">
        <v>12</v>
      </c>
      <c r="F185" s="53" t="e">
        <f>VLOOKUP(E185,'Price indx'!#REF!,3,FALSE)</f>
        <v>#REF!</v>
      </c>
      <c r="G185" s="53"/>
      <c r="H185" s="52" t="e">
        <f t="shared" si="9"/>
        <v>#REF!</v>
      </c>
      <c r="I185" s="54" t="e">
        <f t="shared" si="10"/>
        <v>#REF!</v>
      </c>
      <c r="J185" s="48">
        <v>0</v>
      </c>
      <c r="K185" s="52">
        <f t="shared" si="8"/>
        <v>0</v>
      </c>
      <c r="L185" s="53"/>
      <c r="M185" s="53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  <c r="AG185" s="53"/>
      <c r="AH185" s="53"/>
    </row>
    <row r="186" spans="1:34" x14ac:dyDescent="0.25">
      <c r="A186" s="53"/>
      <c r="B186" s="53"/>
      <c r="C186" s="53"/>
      <c r="D186" s="53"/>
      <c r="E186" s="53" t="s">
        <v>12</v>
      </c>
      <c r="F186" s="53" t="e">
        <f>VLOOKUP(E186,'Price indx'!#REF!,3,FALSE)</f>
        <v>#REF!</v>
      </c>
      <c r="G186" s="53"/>
      <c r="H186" s="52" t="e">
        <f t="shared" si="9"/>
        <v>#REF!</v>
      </c>
      <c r="I186" s="54" t="e">
        <f t="shared" si="10"/>
        <v>#REF!</v>
      </c>
      <c r="J186" s="48">
        <v>0</v>
      </c>
      <c r="K186" s="52">
        <f t="shared" si="8"/>
        <v>0</v>
      </c>
      <c r="L186" s="53"/>
      <c r="M186" s="53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53"/>
      <c r="AG186" s="53"/>
      <c r="AH186" s="53"/>
    </row>
    <row r="187" spans="1:34" x14ac:dyDescent="0.25">
      <c r="A187" s="53"/>
      <c r="B187" s="53"/>
      <c r="C187" s="53"/>
      <c r="D187" s="53"/>
      <c r="E187" s="53" t="s">
        <v>12</v>
      </c>
      <c r="F187" s="53" t="e">
        <f>VLOOKUP(E187,'Price indx'!#REF!,3,FALSE)</f>
        <v>#REF!</v>
      </c>
      <c r="G187" s="53"/>
      <c r="H187" s="52" t="e">
        <f t="shared" si="9"/>
        <v>#REF!</v>
      </c>
      <c r="I187" s="54" t="e">
        <f t="shared" si="10"/>
        <v>#REF!</v>
      </c>
      <c r="J187" s="48">
        <v>0</v>
      </c>
      <c r="K187" s="52">
        <f t="shared" si="8"/>
        <v>0</v>
      </c>
      <c r="L187" s="53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53"/>
      <c r="AG187" s="53"/>
      <c r="AH187" s="53"/>
    </row>
    <row r="188" spans="1:34" x14ac:dyDescent="0.25">
      <c r="A188" s="53"/>
      <c r="B188" s="53"/>
      <c r="C188" s="53"/>
      <c r="D188" s="53"/>
      <c r="E188" s="53" t="s">
        <v>12</v>
      </c>
      <c r="F188" s="53" t="e">
        <f>VLOOKUP(E188,'Price indx'!#REF!,3,FALSE)</f>
        <v>#REF!</v>
      </c>
      <c r="G188" s="53"/>
      <c r="H188" s="52" t="e">
        <f t="shared" si="9"/>
        <v>#REF!</v>
      </c>
      <c r="I188" s="54" t="e">
        <f t="shared" si="10"/>
        <v>#REF!</v>
      </c>
      <c r="J188" s="48">
        <v>0</v>
      </c>
      <c r="K188" s="52">
        <f t="shared" si="8"/>
        <v>0</v>
      </c>
      <c r="L188" s="53"/>
      <c r="M188" s="53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53"/>
      <c r="AG188" s="53"/>
      <c r="AH188" s="53"/>
    </row>
    <row r="189" spans="1:34" x14ac:dyDescent="0.25">
      <c r="A189" s="53"/>
      <c r="B189" s="53"/>
      <c r="C189" s="53"/>
      <c r="D189" s="53"/>
      <c r="E189" s="53" t="s">
        <v>12</v>
      </c>
      <c r="F189" s="53" t="e">
        <f>VLOOKUP(E189,'Price indx'!#REF!,3,FALSE)</f>
        <v>#REF!</v>
      </c>
      <c r="G189" s="53"/>
      <c r="H189" s="52" t="e">
        <f t="shared" si="9"/>
        <v>#REF!</v>
      </c>
      <c r="I189" s="54" t="e">
        <f t="shared" si="10"/>
        <v>#REF!</v>
      </c>
      <c r="J189" s="48">
        <v>0</v>
      </c>
      <c r="K189" s="52">
        <f t="shared" si="8"/>
        <v>0</v>
      </c>
      <c r="L189" s="53"/>
      <c r="M189" s="53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53"/>
      <c r="AG189" s="53"/>
      <c r="AH189" s="53"/>
    </row>
    <row r="190" spans="1:34" x14ac:dyDescent="0.25">
      <c r="A190" s="53"/>
      <c r="B190" s="53"/>
      <c r="C190" s="53"/>
      <c r="D190" s="53"/>
      <c r="E190" s="53" t="s">
        <v>12</v>
      </c>
      <c r="F190" s="53" t="e">
        <f>VLOOKUP(E190,'Price indx'!#REF!,3,FALSE)</f>
        <v>#REF!</v>
      </c>
      <c r="G190" s="53"/>
      <c r="H190" s="52" t="e">
        <f t="shared" si="9"/>
        <v>#REF!</v>
      </c>
      <c r="I190" s="54" t="e">
        <f t="shared" si="10"/>
        <v>#REF!</v>
      </c>
      <c r="J190" s="48">
        <v>0</v>
      </c>
      <c r="K190" s="52">
        <f t="shared" si="8"/>
        <v>0</v>
      </c>
      <c r="L190" s="53"/>
      <c r="M190" s="53"/>
      <c r="N190" s="53"/>
      <c r="O190" s="53"/>
      <c r="P190" s="53"/>
      <c r="Q190" s="53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53"/>
      <c r="AG190" s="53"/>
      <c r="AH190" s="53"/>
    </row>
    <row r="191" spans="1:34" x14ac:dyDescent="0.25">
      <c r="A191" s="53"/>
      <c r="B191" s="53"/>
      <c r="C191" s="53"/>
      <c r="D191" s="53"/>
      <c r="E191" s="53" t="s">
        <v>12</v>
      </c>
      <c r="F191" s="53" t="e">
        <f>VLOOKUP(E191,'Price indx'!#REF!,3,FALSE)</f>
        <v>#REF!</v>
      </c>
      <c r="G191" s="53"/>
      <c r="H191" s="52" t="e">
        <f t="shared" si="9"/>
        <v>#REF!</v>
      </c>
      <c r="I191" s="54" t="e">
        <f t="shared" si="10"/>
        <v>#REF!</v>
      </c>
      <c r="J191" s="48">
        <v>0</v>
      </c>
      <c r="K191" s="52">
        <f t="shared" si="8"/>
        <v>0</v>
      </c>
      <c r="L191" s="53"/>
      <c r="M191" s="53"/>
      <c r="N191" s="53"/>
      <c r="O191" s="53"/>
      <c r="P191" s="53"/>
      <c r="Q191" s="53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53"/>
      <c r="AG191" s="53"/>
      <c r="AH191" s="53"/>
    </row>
    <row r="192" spans="1:34" x14ac:dyDescent="0.25">
      <c r="A192" s="53"/>
      <c r="B192" s="53"/>
      <c r="C192" s="53"/>
      <c r="D192" s="53"/>
      <c r="E192" s="53" t="s">
        <v>12</v>
      </c>
      <c r="F192" s="53" t="e">
        <f>VLOOKUP(E192,'Price indx'!#REF!,3,FALSE)</f>
        <v>#REF!</v>
      </c>
      <c r="G192" s="53"/>
      <c r="H192" s="52" t="e">
        <f t="shared" si="9"/>
        <v>#REF!</v>
      </c>
      <c r="I192" s="54" t="e">
        <f t="shared" si="10"/>
        <v>#REF!</v>
      </c>
      <c r="J192" s="48">
        <v>0</v>
      </c>
      <c r="K192" s="52">
        <f t="shared" si="8"/>
        <v>0</v>
      </c>
      <c r="L192" s="53"/>
      <c r="M192" s="53"/>
      <c r="N192" s="53"/>
      <c r="O192" s="53"/>
      <c r="P192" s="53"/>
      <c r="Q192" s="53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53"/>
      <c r="AG192" s="53"/>
      <c r="AH192" s="53"/>
    </row>
    <row r="193" spans="1:34" x14ac:dyDescent="0.25">
      <c r="A193" s="53"/>
      <c r="B193" s="53"/>
      <c r="C193" s="53"/>
      <c r="D193" s="53"/>
      <c r="E193" s="53" t="s">
        <v>12</v>
      </c>
      <c r="F193" s="53" t="e">
        <f>VLOOKUP(E193,'Price indx'!#REF!,3,FALSE)</f>
        <v>#REF!</v>
      </c>
      <c r="G193" s="53"/>
      <c r="H193" s="52" t="e">
        <f t="shared" si="9"/>
        <v>#REF!</v>
      </c>
      <c r="I193" s="54" t="e">
        <f t="shared" si="10"/>
        <v>#REF!</v>
      </c>
      <c r="J193" s="48">
        <v>0</v>
      </c>
      <c r="K193" s="52">
        <f t="shared" si="8"/>
        <v>0</v>
      </c>
      <c r="L193" s="53"/>
      <c r="M193" s="53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53"/>
      <c r="AG193" s="53"/>
      <c r="AH193" s="53"/>
    </row>
    <row r="194" spans="1:34" x14ac:dyDescent="0.25">
      <c r="A194" s="53"/>
      <c r="B194" s="53"/>
      <c r="C194" s="53"/>
      <c r="D194" s="53"/>
      <c r="E194" s="53" t="s">
        <v>12</v>
      </c>
      <c r="F194" s="53" t="e">
        <f>VLOOKUP(E194,'Price indx'!#REF!,3,FALSE)</f>
        <v>#REF!</v>
      </c>
      <c r="G194" s="53"/>
      <c r="H194" s="52" t="e">
        <f t="shared" si="9"/>
        <v>#REF!</v>
      </c>
      <c r="I194" s="54" t="e">
        <f t="shared" si="10"/>
        <v>#REF!</v>
      </c>
      <c r="J194" s="48">
        <v>0</v>
      </c>
      <c r="K194" s="52">
        <f t="shared" si="8"/>
        <v>0</v>
      </c>
      <c r="L194" s="53"/>
      <c r="M194" s="53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53"/>
      <c r="AG194" s="53"/>
      <c r="AH194" s="53"/>
    </row>
    <row r="195" spans="1:34" x14ac:dyDescent="0.25">
      <c r="A195" s="53"/>
      <c r="B195" s="53"/>
      <c r="C195" s="53"/>
      <c r="D195" s="53"/>
      <c r="E195" s="53" t="s">
        <v>12</v>
      </c>
      <c r="F195" s="53" t="e">
        <f>VLOOKUP(E195,'Price indx'!#REF!,3,FALSE)</f>
        <v>#REF!</v>
      </c>
      <c r="G195" s="53"/>
      <c r="H195" s="52" t="e">
        <f t="shared" si="9"/>
        <v>#REF!</v>
      </c>
      <c r="I195" s="54" t="e">
        <f t="shared" si="10"/>
        <v>#REF!</v>
      </c>
      <c r="J195" s="48">
        <v>0</v>
      </c>
      <c r="K195" s="52">
        <f t="shared" si="8"/>
        <v>0</v>
      </c>
      <c r="L195" s="53"/>
      <c r="M195" s="53"/>
      <c r="N195" s="53"/>
      <c r="O195" s="53"/>
      <c r="P195" s="53"/>
      <c r="Q195" s="53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53"/>
      <c r="AG195" s="53"/>
      <c r="AH195" s="53"/>
    </row>
    <row r="196" spans="1:34" x14ac:dyDescent="0.25">
      <c r="A196" s="53"/>
      <c r="B196" s="53"/>
      <c r="C196" s="53"/>
      <c r="D196" s="53"/>
      <c r="E196" s="53" t="s">
        <v>12</v>
      </c>
      <c r="F196" s="53" t="e">
        <f>VLOOKUP(E196,'Price indx'!#REF!,3,FALSE)</f>
        <v>#REF!</v>
      </c>
      <c r="G196" s="53"/>
      <c r="H196" s="52" t="e">
        <f t="shared" si="9"/>
        <v>#REF!</v>
      </c>
      <c r="I196" s="54" t="e">
        <f t="shared" si="10"/>
        <v>#REF!</v>
      </c>
      <c r="J196" s="48">
        <v>0</v>
      </c>
      <c r="K196" s="52">
        <f t="shared" ref="K196:K259" si="11">IF(A196=0,(C196),(0))</f>
        <v>0</v>
      </c>
      <c r="L196" s="53"/>
      <c r="M196" s="53"/>
      <c r="N196" s="53"/>
      <c r="O196" s="53"/>
      <c r="P196" s="53"/>
      <c r="Q196" s="53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53"/>
      <c r="AG196" s="53"/>
      <c r="AH196" s="53"/>
    </row>
    <row r="197" spans="1:34" x14ac:dyDescent="0.25">
      <c r="A197" s="53"/>
      <c r="B197" s="53"/>
      <c r="C197" s="53"/>
      <c r="D197" s="53"/>
      <c r="E197" s="53" t="s">
        <v>12</v>
      </c>
      <c r="F197" s="53" t="e">
        <f>VLOOKUP(E197,'Price indx'!#REF!,3,FALSE)</f>
        <v>#REF!</v>
      </c>
      <c r="G197" s="53"/>
      <c r="H197" s="52" t="e">
        <f t="shared" ref="H197:H260" si="12">G197*F197</f>
        <v>#REF!</v>
      </c>
      <c r="I197" s="54" t="e">
        <f t="shared" ref="I197:I260" si="13">H197/C197-1</f>
        <v>#REF!</v>
      </c>
      <c r="J197" s="48">
        <v>0</v>
      </c>
      <c r="K197" s="52">
        <f t="shared" si="11"/>
        <v>0</v>
      </c>
      <c r="L197" s="53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53"/>
      <c r="AG197" s="53"/>
      <c r="AH197" s="53"/>
    </row>
    <row r="198" spans="1:34" x14ac:dyDescent="0.25">
      <c r="A198" s="53"/>
      <c r="B198" s="53"/>
      <c r="C198" s="53"/>
      <c r="D198" s="53"/>
      <c r="E198" s="53" t="s">
        <v>12</v>
      </c>
      <c r="F198" s="53" t="e">
        <f>VLOOKUP(E198,'Price indx'!#REF!,3,FALSE)</f>
        <v>#REF!</v>
      </c>
      <c r="G198" s="53"/>
      <c r="H198" s="52" t="e">
        <f t="shared" si="12"/>
        <v>#REF!</v>
      </c>
      <c r="I198" s="54" t="e">
        <f t="shared" si="13"/>
        <v>#REF!</v>
      </c>
      <c r="J198" s="48">
        <v>0</v>
      </c>
      <c r="K198" s="52">
        <f t="shared" si="11"/>
        <v>0</v>
      </c>
      <c r="L198" s="53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53"/>
      <c r="AG198" s="53"/>
      <c r="AH198" s="53"/>
    </row>
    <row r="199" spans="1:34" x14ac:dyDescent="0.25">
      <c r="A199" s="53"/>
      <c r="B199" s="53"/>
      <c r="C199" s="53"/>
      <c r="D199" s="53"/>
      <c r="E199" s="53" t="s">
        <v>12</v>
      </c>
      <c r="F199" s="53" t="e">
        <f>VLOOKUP(E199,'Price indx'!#REF!,3,FALSE)</f>
        <v>#REF!</v>
      </c>
      <c r="G199" s="53"/>
      <c r="H199" s="52" t="e">
        <f t="shared" si="12"/>
        <v>#REF!</v>
      </c>
      <c r="I199" s="54" t="e">
        <f t="shared" si="13"/>
        <v>#REF!</v>
      </c>
      <c r="J199" s="48">
        <v>0</v>
      </c>
      <c r="K199" s="52">
        <f t="shared" si="11"/>
        <v>0</v>
      </c>
      <c r="L199" s="53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53"/>
      <c r="AG199" s="53"/>
      <c r="AH199" s="53"/>
    </row>
    <row r="200" spans="1:34" x14ac:dyDescent="0.25">
      <c r="A200" s="53"/>
      <c r="B200" s="53"/>
      <c r="C200" s="53"/>
      <c r="D200" s="53"/>
      <c r="E200" s="53" t="s">
        <v>12</v>
      </c>
      <c r="F200" s="53" t="e">
        <f>VLOOKUP(E200,'Price indx'!#REF!,3,FALSE)</f>
        <v>#REF!</v>
      </c>
      <c r="G200" s="53"/>
      <c r="H200" s="52" t="e">
        <f t="shared" si="12"/>
        <v>#REF!</v>
      </c>
      <c r="I200" s="54" t="e">
        <f t="shared" si="13"/>
        <v>#REF!</v>
      </c>
      <c r="J200" s="48">
        <v>0</v>
      </c>
      <c r="K200" s="52">
        <f t="shared" si="11"/>
        <v>0</v>
      </c>
      <c r="L200" s="53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53"/>
      <c r="AG200" s="53"/>
      <c r="AH200" s="53"/>
    </row>
    <row r="201" spans="1:34" x14ac:dyDescent="0.25">
      <c r="A201" s="53"/>
      <c r="B201" s="53"/>
      <c r="C201" s="53"/>
      <c r="D201" s="53"/>
      <c r="E201" s="53" t="s">
        <v>12</v>
      </c>
      <c r="F201" s="53" t="e">
        <f>VLOOKUP(E201,'Price indx'!#REF!,3,FALSE)</f>
        <v>#REF!</v>
      </c>
      <c r="G201" s="53"/>
      <c r="H201" s="52" t="e">
        <f t="shared" si="12"/>
        <v>#REF!</v>
      </c>
      <c r="I201" s="54" t="e">
        <f t="shared" si="13"/>
        <v>#REF!</v>
      </c>
      <c r="J201" s="48">
        <v>0</v>
      </c>
      <c r="K201" s="52">
        <f t="shared" si="11"/>
        <v>0</v>
      </c>
      <c r="L201" s="53"/>
      <c r="M201" s="53"/>
      <c r="N201" s="53"/>
      <c r="O201" s="53"/>
      <c r="P201" s="53"/>
      <c r="Q201" s="53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53"/>
      <c r="AG201" s="53"/>
      <c r="AH201" s="53"/>
    </row>
    <row r="202" spans="1:34" x14ac:dyDescent="0.25">
      <c r="A202" s="53"/>
      <c r="B202" s="53"/>
      <c r="C202" s="53"/>
      <c r="D202" s="53"/>
      <c r="E202" s="53" t="s">
        <v>12</v>
      </c>
      <c r="F202" s="53" t="e">
        <f>VLOOKUP(E202,'Price indx'!#REF!,3,FALSE)</f>
        <v>#REF!</v>
      </c>
      <c r="G202" s="53"/>
      <c r="H202" s="52" t="e">
        <f t="shared" si="12"/>
        <v>#REF!</v>
      </c>
      <c r="I202" s="54" t="e">
        <f t="shared" si="13"/>
        <v>#REF!</v>
      </c>
      <c r="J202" s="48">
        <v>0</v>
      </c>
      <c r="K202" s="52">
        <f t="shared" si="11"/>
        <v>0</v>
      </c>
      <c r="L202" s="53"/>
      <c r="M202" s="53"/>
      <c r="N202" s="53"/>
      <c r="O202" s="53"/>
      <c r="P202" s="53"/>
      <c r="Q202" s="53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53"/>
      <c r="AG202" s="53"/>
      <c r="AH202" s="53"/>
    </row>
    <row r="203" spans="1:34" x14ac:dyDescent="0.25">
      <c r="A203" s="53"/>
      <c r="B203" s="53"/>
      <c r="C203" s="53"/>
      <c r="D203" s="53"/>
      <c r="E203" s="53" t="s">
        <v>12</v>
      </c>
      <c r="F203" s="53" t="e">
        <f>VLOOKUP(E203,'Price indx'!#REF!,3,FALSE)</f>
        <v>#REF!</v>
      </c>
      <c r="G203" s="53"/>
      <c r="H203" s="52" t="e">
        <f t="shared" si="12"/>
        <v>#REF!</v>
      </c>
      <c r="I203" s="54" t="e">
        <f t="shared" si="13"/>
        <v>#REF!</v>
      </c>
      <c r="J203" s="48">
        <v>0</v>
      </c>
      <c r="K203" s="52">
        <f t="shared" si="11"/>
        <v>0</v>
      </c>
      <c r="L203" s="53"/>
      <c r="M203" s="53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53"/>
      <c r="AG203" s="53"/>
      <c r="AH203" s="53"/>
    </row>
    <row r="204" spans="1:34" x14ac:dyDescent="0.25">
      <c r="A204" s="53"/>
      <c r="B204" s="53"/>
      <c r="C204" s="53"/>
      <c r="D204" s="53"/>
      <c r="E204" s="53" t="s">
        <v>12</v>
      </c>
      <c r="F204" s="53" t="e">
        <f>VLOOKUP(E204,'Price indx'!#REF!,3,FALSE)</f>
        <v>#REF!</v>
      </c>
      <c r="G204" s="53"/>
      <c r="H204" s="52" t="e">
        <f t="shared" si="12"/>
        <v>#REF!</v>
      </c>
      <c r="I204" s="54" t="e">
        <f t="shared" si="13"/>
        <v>#REF!</v>
      </c>
      <c r="J204" s="48">
        <v>0</v>
      </c>
      <c r="K204" s="52">
        <f t="shared" si="11"/>
        <v>0</v>
      </c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53"/>
      <c r="AG204" s="53"/>
      <c r="AH204" s="53"/>
    </row>
    <row r="205" spans="1:34" x14ac:dyDescent="0.25">
      <c r="A205" s="53"/>
      <c r="B205" s="53"/>
      <c r="C205" s="53"/>
      <c r="D205" s="53"/>
      <c r="E205" s="53" t="s">
        <v>12</v>
      </c>
      <c r="F205" s="53" t="e">
        <f>VLOOKUP(E205,'Price indx'!#REF!,3,FALSE)</f>
        <v>#REF!</v>
      </c>
      <c r="G205" s="53"/>
      <c r="H205" s="52" t="e">
        <f t="shared" si="12"/>
        <v>#REF!</v>
      </c>
      <c r="I205" s="54" t="e">
        <f t="shared" si="13"/>
        <v>#REF!</v>
      </c>
      <c r="J205" s="48">
        <v>0</v>
      </c>
      <c r="K205" s="52">
        <f t="shared" si="11"/>
        <v>0</v>
      </c>
      <c r="L205" s="53"/>
      <c r="M205" s="53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53"/>
      <c r="AG205" s="53"/>
      <c r="AH205" s="53"/>
    </row>
    <row r="206" spans="1:34" x14ac:dyDescent="0.25">
      <c r="A206" s="53"/>
      <c r="B206" s="53"/>
      <c r="C206" s="53"/>
      <c r="D206" s="53"/>
      <c r="E206" s="53" t="s">
        <v>12</v>
      </c>
      <c r="F206" s="53" t="e">
        <f>VLOOKUP(E206,'Price indx'!#REF!,3,FALSE)</f>
        <v>#REF!</v>
      </c>
      <c r="G206" s="53"/>
      <c r="H206" s="52" t="e">
        <f t="shared" si="12"/>
        <v>#REF!</v>
      </c>
      <c r="I206" s="54" t="e">
        <f t="shared" si="13"/>
        <v>#REF!</v>
      </c>
      <c r="J206" s="48">
        <v>0</v>
      </c>
      <c r="K206" s="52">
        <f t="shared" si="11"/>
        <v>0</v>
      </c>
      <c r="L206" s="53"/>
      <c r="M206" s="53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53"/>
      <c r="AG206" s="53"/>
      <c r="AH206" s="53"/>
    </row>
    <row r="207" spans="1:34" x14ac:dyDescent="0.25">
      <c r="A207" s="53"/>
      <c r="B207" s="53"/>
      <c r="C207" s="53"/>
      <c r="D207" s="53"/>
      <c r="E207" s="53" t="s">
        <v>12</v>
      </c>
      <c r="F207" s="53" t="e">
        <f>VLOOKUP(E207,'Price indx'!#REF!,3,FALSE)</f>
        <v>#REF!</v>
      </c>
      <c r="G207" s="53"/>
      <c r="H207" s="52" t="e">
        <f t="shared" si="12"/>
        <v>#REF!</v>
      </c>
      <c r="I207" s="54" t="e">
        <f t="shared" si="13"/>
        <v>#REF!</v>
      </c>
      <c r="J207" s="48">
        <v>0</v>
      </c>
      <c r="K207" s="52">
        <f t="shared" si="11"/>
        <v>0</v>
      </c>
      <c r="L207" s="53"/>
      <c r="M207" s="53"/>
      <c r="N207" s="53"/>
      <c r="O207" s="53"/>
      <c r="P207" s="53"/>
      <c r="Q207" s="53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53"/>
      <c r="AG207" s="53"/>
      <c r="AH207" s="53"/>
    </row>
    <row r="208" spans="1:34" x14ac:dyDescent="0.25">
      <c r="A208" s="53"/>
      <c r="B208" s="53"/>
      <c r="C208" s="53"/>
      <c r="D208" s="53"/>
      <c r="E208" s="53" t="s">
        <v>12</v>
      </c>
      <c r="F208" s="53" t="e">
        <f>VLOOKUP(E208,'Price indx'!#REF!,3,FALSE)</f>
        <v>#REF!</v>
      </c>
      <c r="G208" s="53"/>
      <c r="H208" s="52" t="e">
        <f t="shared" si="12"/>
        <v>#REF!</v>
      </c>
      <c r="I208" s="54" t="e">
        <f t="shared" si="13"/>
        <v>#REF!</v>
      </c>
      <c r="J208" s="48">
        <v>0</v>
      </c>
      <c r="K208" s="52">
        <f t="shared" si="11"/>
        <v>0</v>
      </c>
      <c r="L208" s="53"/>
      <c r="M208" s="53"/>
      <c r="N208" s="53"/>
      <c r="O208" s="53"/>
      <c r="P208" s="53"/>
      <c r="Q208" s="53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53"/>
      <c r="AG208" s="53"/>
      <c r="AH208" s="53"/>
    </row>
    <row r="209" spans="1:34" x14ac:dyDescent="0.25">
      <c r="A209" s="53"/>
      <c r="B209" s="53"/>
      <c r="C209" s="53"/>
      <c r="D209" s="53"/>
      <c r="E209" s="53" t="s">
        <v>12</v>
      </c>
      <c r="F209" s="53" t="e">
        <f>VLOOKUP(E209,'Price indx'!#REF!,3,FALSE)</f>
        <v>#REF!</v>
      </c>
      <c r="G209" s="53"/>
      <c r="H209" s="52" t="e">
        <f t="shared" si="12"/>
        <v>#REF!</v>
      </c>
      <c r="I209" s="54" t="e">
        <f t="shared" si="13"/>
        <v>#REF!</v>
      </c>
      <c r="J209" s="48">
        <v>0</v>
      </c>
      <c r="K209" s="52">
        <f t="shared" si="11"/>
        <v>0</v>
      </c>
      <c r="L209" s="53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53"/>
      <c r="AG209" s="53"/>
      <c r="AH209" s="53"/>
    </row>
    <row r="210" spans="1:34" x14ac:dyDescent="0.25">
      <c r="A210" s="53"/>
      <c r="B210" s="53"/>
      <c r="C210" s="53"/>
      <c r="D210" s="53"/>
      <c r="E210" s="53" t="s">
        <v>12</v>
      </c>
      <c r="F210" s="53" t="e">
        <f>VLOOKUP(E210,'Price indx'!#REF!,3,FALSE)</f>
        <v>#REF!</v>
      </c>
      <c r="G210" s="53"/>
      <c r="H210" s="52" t="e">
        <f t="shared" si="12"/>
        <v>#REF!</v>
      </c>
      <c r="I210" s="54" t="e">
        <f t="shared" si="13"/>
        <v>#REF!</v>
      </c>
      <c r="J210" s="48">
        <v>0</v>
      </c>
      <c r="K210" s="52">
        <f t="shared" si="11"/>
        <v>0</v>
      </c>
      <c r="L210" s="53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53"/>
      <c r="AG210" s="53"/>
      <c r="AH210" s="53"/>
    </row>
    <row r="211" spans="1:34" x14ac:dyDescent="0.25">
      <c r="A211" s="53"/>
      <c r="B211" s="53"/>
      <c r="C211" s="53"/>
      <c r="D211" s="53"/>
      <c r="E211" s="53" t="s">
        <v>12</v>
      </c>
      <c r="F211" s="53" t="e">
        <f>VLOOKUP(E211,'Price indx'!#REF!,3,FALSE)</f>
        <v>#REF!</v>
      </c>
      <c r="G211" s="53"/>
      <c r="H211" s="52" t="e">
        <f t="shared" si="12"/>
        <v>#REF!</v>
      </c>
      <c r="I211" s="54" t="e">
        <f t="shared" si="13"/>
        <v>#REF!</v>
      </c>
      <c r="J211" s="48">
        <v>0</v>
      </c>
      <c r="K211" s="52">
        <f t="shared" si="11"/>
        <v>0</v>
      </c>
      <c r="L211" s="53"/>
      <c r="M211" s="53"/>
      <c r="N211" s="53"/>
      <c r="O211" s="53"/>
      <c r="P211" s="53"/>
      <c r="Q211" s="53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53"/>
      <c r="AG211" s="53"/>
      <c r="AH211" s="53"/>
    </row>
    <row r="212" spans="1:34" x14ac:dyDescent="0.25">
      <c r="A212" s="53"/>
      <c r="B212" s="53"/>
      <c r="C212" s="53"/>
      <c r="D212" s="53"/>
      <c r="E212" s="53" t="s">
        <v>12</v>
      </c>
      <c r="F212" s="53" t="e">
        <f>VLOOKUP(E212,'Price indx'!#REF!,3,FALSE)</f>
        <v>#REF!</v>
      </c>
      <c r="G212" s="53"/>
      <c r="H212" s="52" t="e">
        <f t="shared" si="12"/>
        <v>#REF!</v>
      </c>
      <c r="I212" s="54" t="e">
        <f t="shared" si="13"/>
        <v>#REF!</v>
      </c>
      <c r="J212" s="48">
        <v>0</v>
      </c>
      <c r="K212" s="52">
        <f t="shared" si="11"/>
        <v>0</v>
      </c>
      <c r="L212" s="53"/>
      <c r="M212" s="53"/>
      <c r="N212" s="53"/>
      <c r="O212" s="53"/>
      <c r="P212" s="53"/>
      <c r="Q212" s="53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53"/>
      <c r="AG212" s="53"/>
      <c r="AH212" s="53"/>
    </row>
    <row r="213" spans="1:34" x14ac:dyDescent="0.25">
      <c r="A213" s="53"/>
      <c r="B213" s="53"/>
      <c r="C213" s="53"/>
      <c r="D213" s="53"/>
      <c r="E213" s="53" t="s">
        <v>12</v>
      </c>
      <c r="F213" s="53" t="e">
        <f>VLOOKUP(E213,'Price indx'!#REF!,3,FALSE)</f>
        <v>#REF!</v>
      </c>
      <c r="G213" s="53"/>
      <c r="H213" s="52" t="e">
        <f t="shared" si="12"/>
        <v>#REF!</v>
      </c>
      <c r="I213" s="54" t="e">
        <f t="shared" si="13"/>
        <v>#REF!</v>
      </c>
      <c r="J213" s="48">
        <v>0</v>
      </c>
      <c r="K213" s="52">
        <f t="shared" si="11"/>
        <v>0</v>
      </c>
      <c r="L213" s="53"/>
      <c r="M213" s="53"/>
      <c r="N213" s="53"/>
      <c r="O213" s="53"/>
      <c r="P213" s="53"/>
      <c r="Q213" s="53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53"/>
      <c r="AG213" s="53"/>
      <c r="AH213" s="53"/>
    </row>
    <row r="214" spans="1:34" x14ac:dyDescent="0.25">
      <c r="A214" s="53"/>
      <c r="B214" s="53"/>
      <c r="C214" s="53"/>
      <c r="D214" s="53"/>
      <c r="E214" s="53" t="s">
        <v>12</v>
      </c>
      <c r="F214" s="53" t="e">
        <f>VLOOKUP(E214,'Price indx'!#REF!,3,FALSE)</f>
        <v>#REF!</v>
      </c>
      <c r="G214" s="53"/>
      <c r="H214" s="52" t="e">
        <f t="shared" si="12"/>
        <v>#REF!</v>
      </c>
      <c r="I214" s="54" t="e">
        <f t="shared" si="13"/>
        <v>#REF!</v>
      </c>
      <c r="J214" s="48">
        <v>0</v>
      </c>
      <c r="K214" s="52">
        <f t="shared" si="11"/>
        <v>0</v>
      </c>
      <c r="L214" s="53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53"/>
      <c r="AG214" s="53"/>
      <c r="AH214" s="53"/>
    </row>
    <row r="215" spans="1:34" x14ac:dyDescent="0.25">
      <c r="A215" s="53"/>
      <c r="B215" s="53"/>
      <c r="C215" s="53"/>
      <c r="D215" s="53"/>
      <c r="E215" s="53" t="s">
        <v>12</v>
      </c>
      <c r="F215" s="53" t="e">
        <f>VLOOKUP(E215,'Price indx'!#REF!,3,FALSE)</f>
        <v>#REF!</v>
      </c>
      <c r="G215" s="53"/>
      <c r="H215" s="52" t="e">
        <f t="shared" si="12"/>
        <v>#REF!</v>
      </c>
      <c r="I215" s="54" t="e">
        <f t="shared" si="13"/>
        <v>#REF!</v>
      </c>
      <c r="J215" s="48">
        <v>0</v>
      </c>
      <c r="K215" s="52">
        <f t="shared" si="11"/>
        <v>0</v>
      </c>
      <c r="L215" s="53"/>
      <c r="M215" s="53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53"/>
      <c r="AG215" s="53"/>
      <c r="AH215" s="53"/>
    </row>
    <row r="216" spans="1:34" x14ac:dyDescent="0.25">
      <c r="A216" s="53"/>
      <c r="B216" s="53"/>
      <c r="C216" s="53"/>
      <c r="D216" s="53"/>
      <c r="E216" s="53" t="s">
        <v>12</v>
      </c>
      <c r="F216" s="53" t="e">
        <f>VLOOKUP(E216,'Price indx'!#REF!,3,FALSE)</f>
        <v>#REF!</v>
      </c>
      <c r="G216" s="53"/>
      <c r="H216" s="52" t="e">
        <f t="shared" si="12"/>
        <v>#REF!</v>
      </c>
      <c r="I216" s="54" t="e">
        <f t="shared" si="13"/>
        <v>#REF!</v>
      </c>
      <c r="J216" s="48">
        <v>0</v>
      </c>
      <c r="K216" s="52">
        <f t="shared" si="11"/>
        <v>0</v>
      </c>
      <c r="L216" s="53"/>
      <c r="M216" s="53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53"/>
      <c r="AG216" s="53"/>
      <c r="AH216" s="53"/>
    </row>
    <row r="217" spans="1:34" x14ac:dyDescent="0.25">
      <c r="A217" s="53"/>
      <c r="B217" s="53"/>
      <c r="C217" s="53"/>
      <c r="D217" s="53"/>
      <c r="E217" s="53" t="s">
        <v>12</v>
      </c>
      <c r="F217" s="53" t="e">
        <f>VLOOKUP(E217,'Price indx'!#REF!,3,FALSE)</f>
        <v>#REF!</v>
      </c>
      <c r="G217" s="53"/>
      <c r="H217" s="52" t="e">
        <f t="shared" si="12"/>
        <v>#REF!</v>
      </c>
      <c r="I217" s="54" t="e">
        <f t="shared" si="13"/>
        <v>#REF!</v>
      </c>
      <c r="J217" s="48">
        <v>0</v>
      </c>
      <c r="K217" s="52">
        <f t="shared" si="11"/>
        <v>0</v>
      </c>
      <c r="L217" s="53"/>
      <c r="M217" s="53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53"/>
      <c r="AG217" s="53"/>
      <c r="AH217" s="53"/>
    </row>
    <row r="218" spans="1:34" x14ac:dyDescent="0.25">
      <c r="A218" s="53"/>
      <c r="B218" s="53"/>
      <c r="C218" s="53"/>
      <c r="D218" s="53"/>
      <c r="E218" s="53" t="s">
        <v>12</v>
      </c>
      <c r="F218" s="53" t="e">
        <f>VLOOKUP(E218,'Price indx'!#REF!,3,FALSE)</f>
        <v>#REF!</v>
      </c>
      <c r="G218" s="53"/>
      <c r="H218" s="52" t="e">
        <f t="shared" si="12"/>
        <v>#REF!</v>
      </c>
      <c r="I218" s="54" t="e">
        <f t="shared" si="13"/>
        <v>#REF!</v>
      </c>
      <c r="J218" s="48">
        <v>0</v>
      </c>
      <c r="K218" s="52">
        <f t="shared" si="11"/>
        <v>0</v>
      </c>
      <c r="L218" s="53"/>
      <c r="M218" s="53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53"/>
      <c r="AG218" s="53"/>
      <c r="AH218" s="53"/>
    </row>
    <row r="219" spans="1:34" x14ac:dyDescent="0.25">
      <c r="A219" s="53"/>
      <c r="B219" s="53"/>
      <c r="C219" s="53"/>
      <c r="D219" s="53"/>
      <c r="E219" s="53" t="s">
        <v>12</v>
      </c>
      <c r="F219" s="53" t="e">
        <f>VLOOKUP(E219,'Price indx'!#REF!,3,FALSE)</f>
        <v>#REF!</v>
      </c>
      <c r="G219" s="53"/>
      <c r="H219" s="52" t="e">
        <f t="shared" si="12"/>
        <v>#REF!</v>
      </c>
      <c r="I219" s="54" t="e">
        <f t="shared" si="13"/>
        <v>#REF!</v>
      </c>
      <c r="J219" s="48">
        <v>0</v>
      </c>
      <c r="K219" s="52">
        <f t="shared" si="11"/>
        <v>0</v>
      </c>
      <c r="L219" s="53"/>
      <c r="M219" s="53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53"/>
      <c r="AG219" s="53"/>
      <c r="AH219" s="53"/>
    </row>
    <row r="220" spans="1:34" x14ac:dyDescent="0.25">
      <c r="A220" s="53"/>
      <c r="B220" s="53"/>
      <c r="C220" s="53"/>
      <c r="D220" s="53"/>
      <c r="E220" s="53" t="s">
        <v>12</v>
      </c>
      <c r="F220" s="53" t="e">
        <f>VLOOKUP(E220,'Price indx'!#REF!,3,FALSE)</f>
        <v>#REF!</v>
      </c>
      <c r="G220" s="53"/>
      <c r="H220" s="52" t="e">
        <f t="shared" si="12"/>
        <v>#REF!</v>
      </c>
      <c r="I220" s="54" t="e">
        <f t="shared" si="13"/>
        <v>#REF!</v>
      </c>
      <c r="J220" s="48">
        <v>0</v>
      </c>
      <c r="K220" s="52">
        <f t="shared" si="11"/>
        <v>0</v>
      </c>
      <c r="L220" s="53"/>
      <c r="M220" s="53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53"/>
      <c r="AG220" s="53"/>
      <c r="AH220" s="53"/>
    </row>
    <row r="221" spans="1:34" x14ac:dyDescent="0.25">
      <c r="A221" s="53"/>
      <c r="B221" s="53"/>
      <c r="C221" s="53"/>
      <c r="D221" s="53"/>
      <c r="E221" s="53" t="s">
        <v>12</v>
      </c>
      <c r="F221" s="53" t="e">
        <f>VLOOKUP(E221,'Price indx'!#REF!,3,FALSE)</f>
        <v>#REF!</v>
      </c>
      <c r="G221" s="53"/>
      <c r="H221" s="52" t="e">
        <f t="shared" si="12"/>
        <v>#REF!</v>
      </c>
      <c r="I221" s="54" t="e">
        <f t="shared" si="13"/>
        <v>#REF!</v>
      </c>
      <c r="J221" s="48">
        <v>0</v>
      </c>
      <c r="K221" s="52">
        <f t="shared" si="11"/>
        <v>0</v>
      </c>
      <c r="L221" s="53"/>
      <c r="M221" s="53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53"/>
      <c r="AG221" s="53"/>
      <c r="AH221" s="53"/>
    </row>
    <row r="222" spans="1:34" x14ac:dyDescent="0.25">
      <c r="A222" s="53"/>
      <c r="B222" s="53"/>
      <c r="C222" s="53"/>
      <c r="D222" s="53"/>
      <c r="E222" s="53" t="s">
        <v>12</v>
      </c>
      <c r="F222" s="53" t="e">
        <f>VLOOKUP(E222,'Price indx'!#REF!,3,FALSE)</f>
        <v>#REF!</v>
      </c>
      <c r="G222" s="53"/>
      <c r="H222" s="52" t="e">
        <f t="shared" si="12"/>
        <v>#REF!</v>
      </c>
      <c r="I222" s="54" t="e">
        <f t="shared" si="13"/>
        <v>#REF!</v>
      </c>
      <c r="J222" s="48">
        <v>0</v>
      </c>
      <c r="K222" s="52">
        <f t="shared" si="11"/>
        <v>0</v>
      </c>
      <c r="L222" s="53"/>
      <c r="M222" s="53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53"/>
      <c r="AG222" s="53"/>
      <c r="AH222" s="53"/>
    </row>
    <row r="223" spans="1:34" x14ac:dyDescent="0.25">
      <c r="A223" s="53"/>
      <c r="B223" s="53"/>
      <c r="C223" s="53"/>
      <c r="D223" s="53"/>
      <c r="E223" s="53" t="s">
        <v>12</v>
      </c>
      <c r="F223" s="53" t="e">
        <f>VLOOKUP(E223,'Price indx'!#REF!,3,FALSE)</f>
        <v>#REF!</v>
      </c>
      <c r="G223" s="53"/>
      <c r="H223" s="52" t="e">
        <f t="shared" si="12"/>
        <v>#REF!</v>
      </c>
      <c r="I223" s="54" t="e">
        <f t="shared" si="13"/>
        <v>#REF!</v>
      </c>
      <c r="J223" s="48">
        <v>0</v>
      </c>
      <c r="K223" s="52">
        <f t="shared" si="11"/>
        <v>0</v>
      </c>
      <c r="L223" s="53"/>
      <c r="M223" s="53"/>
      <c r="N223" s="53"/>
      <c r="O223" s="53"/>
      <c r="P223" s="53"/>
      <c r="Q223" s="53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53"/>
      <c r="AG223" s="53"/>
      <c r="AH223" s="53"/>
    </row>
    <row r="224" spans="1:34" x14ac:dyDescent="0.25">
      <c r="A224" s="53"/>
      <c r="B224" s="53"/>
      <c r="C224" s="53"/>
      <c r="D224" s="53"/>
      <c r="E224" s="53" t="s">
        <v>12</v>
      </c>
      <c r="F224" s="53" t="e">
        <f>VLOOKUP(E224,'Price indx'!#REF!,3,FALSE)</f>
        <v>#REF!</v>
      </c>
      <c r="G224" s="53"/>
      <c r="H224" s="52" t="e">
        <f t="shared" si="12"/>
        <v>#REF!</v>
      </c>
      <c r="I224" s="54" t="e">
        <f t="shared" si="13"/>
        <v>#REF!</v>
      </c>
      <c r="J224" s="48">
        <v>0</v>
      </c>
      <c r="K224" s="52">
        <f t="shared" si="11"/>
        <v>0</v>
      </c>
      <c r="L224" s="53"/>
      <c r="M224" s="53"/>
      <c r="N224" s="53"/>
      <c r="O224" s="53"/>
      <c r="P224" s="53"/>
      <c r="Q224" s="53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53"/>
      <c r="AG224" s="53"/>
      <c r="AH224" s="53"/>
    </row>
    <row r="225" spans="1:34" x14ac:dyDescent="0.25">
      <c r="A225" s="53"/>
      <c r="B225" s="53"/>
      <c r="C225" s="53"/>
      <c r="D225" s="53"/>
      <c r="E225" s="53" t="s">
        <v>12</v>
      </c>
      <c r="F225" s="53" t="e">
        <f>VLOOKUP(E225,'Price indx'!#REF!,3,FALSE)</f>
        <v>#REF!</v>
      </c>
      <c r="G225" s="53"/>
      <c r="H225" s="52" t="e">
        <f t="shared" si="12"/>
        <v>#REF!</v>
      </c>
      <c r="I225" s="54" t="e">
        <f t="shared" si="13"/>
        <v>#REF!</v>
      </c>
      <c r="J225" s="48">
        <v>0</v>
      </c>
      <c r="K225" s="52">
        <f t="shared" si="11"/>
        <v>0</v>
      </c>
      <c r="L225" s="53"/>
      <c r="M225" s="53"/>
      <c r="N225" s="53"/>
      <c r="O225" s="53"/>
      <c r="P225" s="53"/>
      <c r="Q225" s="53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53"/>
      <c r="AG225" s="53"/>
      <c r="AH225" s="53"/>
    </row>
    <row r="226" spans="1:34" x14ac:dyDescent="0.25">
      <c r="A226" s="53"/>
      <c r="B226" s="53"/>
      <c r="C226" s="53"/>
      <c r="D226" s="53"/>
      <c r="E226" s="53" t="s">
        <v>12</v>
      </c>
      <c r="F226" s="53" t="e">
        <f>VLOOKUP(E226,'Price indx'!#REF!,3,FALSE)</f>
        <v>#REF!</v>
      </c>
      <c r="G226" s="53"/>
      <c r="H226" s="52" t="e">
        <f t="shared" si="12"/>
        <v>#REF!</v>
      </c>
      <c r="I226" s="54" t="e">
        <f t="shared" si="13"/>
        <v>#REF!</v>
      </c>
      <c r="J226" s="48">
        <v>0</v>
      </c>
      <c r="K226" s="52">
        <f t="shared" si="11"/>
        <v>0</v>
      </c>
      <c r="L226" s="53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53"/>
      <c r="AG226" s="53"/>
      <c r="AH226" s="53"/>
    </row>
    <row r="227" spans="1:34" x14ac:dyDescent="0.25">
      <c r="A227" s="53"/>
      <c r="B227" s="53"/>
      <c r="C227" s="53"/>
      <c r="D227" s="53"/>
      <c r="E227" s="53" t="s">
        <v>12</v>
      </c>
      <c r="F227" s="53" t="e">
        <f>VLOOKUP(E227,'Price indx'!#REF!,3,FALSE)</f>
        <v>#REF!</v>
      </c>
      <c r="G227" s="53"/>
      <c r="H227" s="52" t="e">
        <f t="shared" si="12"/>
        <v>#REF!</v>
      </c>
      <c r="I227" s="54" t="e">
        <f t="shared" si="13"/>
        <v>#REF!</v>
      </c>
      <c r="J227" s="48">
        <v>0</v>
      </c>
      <c r="K227" s="52">
        <f t="shared" si="11"/>
        <v>0</v>
      </c>
      <c r="L227" s="53"/>
      <c r="M227" s="53"/>
      <c r="N227" s="53"/>
      <c r="O227" s="53"/>
      <c r="P227" s="53"/>
      <c r="Q227" s="53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53"/>
      <c r="AG227" s="53"/>
      <c r="AH227" s="53"/>
    </row>
    <row r="228" spans="1:34" x14ac:dyDescent="0.25">
      <c r="A228" s="53"/>
      <c r="B228" s="53"/>
      <c r="C228" s="53"/>
      <c r="D228" s="53"/>
      <c r="E228" s="53" t="s">
        <v>12</v>
      </c>
      <c r="F228" s="53" t="e">
        <f>VLOOKUP(E228,'Price indx'!#REF!,3,FALSE)</f>
        <v>#REF!</v>
      </c>
      <c r="G228" s="53"/>
      <c r="H228" s="52" t="e">
        <f t="shared" si="12"/>
        <v>#REF!</v>
      </c>
      <c r="I228" s="54" t="e">
        <f t="shared" si="13"/>
        <v>#REF!</v>
      </c>
      <c r="J228" s="48">
        <v>0</v>
      </c>
      <c r="K228" s="52">
        <f t="shared" si="11"/>
        <v>0</v>
      </c>
      <c r="L228" s="53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53"/>
      <c r="AG228" s="53"/>
      <c r="AH228" s="53"/>
    </row>
    <row r="229" spans="1:34" x14ac:dyDescent="0.25">
      <c r="A229" s="53"/>
      <c r="B229" s="53"/>
      <c r="C229" s="53"/>
      <c r="D229" s="53"/>
      <c r="E229" s="53" t="s">
        <v>12</v>
      </c>
      <c r="F229" s="53" t="e">
        <f>VLOOKUP(E229,'Price indx'!#REF!,3,FALSE)</f>
        <v>#REF!</v>
      </c>
      <c r="G229" s="53"/>
      <c r="H229" s="52" t="e">
        <f t="shared" si="12"/>
        <v>#REF!</v>
      </c>
      <c r="I229" s="54" t="e">
        <f t="shared" si="13"/>
        <v>#REF!</v>
      </c>
      <c r="J229" s="48">
        <v>0</v>
      </c>
      <c r="K229" s="52">
        <f t="shared" si="11"/>
        <v>0</v>
      </c>
      <c r="L229" s="53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53"/>
      <c r="AG229" s="53"/>
      <c r="AH229" s="53"/>
    </row>
    <row r="230" spans="1:34" x14ac:dyDescent="0.25">
      <c r="A230" s="53"/>
      <c r="B230" s="53"/>
      <c r="C230" s="53"/>
      <c r="D230" s="53"/>
      <c r="E230" s="53" t="s">
        <v>12</v>
      </c>
      <c r="F230" s="53" t="e">
        <f>VLOOKUP(E230,'Price indx'!#REF!,3,FALSE)</f>
        <v>#REF!</v>
      </c>
      <c r="G230" s="53"/>
      <c r="H230" s="52" t="e">
        <f t="shared" si="12"/>
        <v>#REF!</v>
      </c>
      <c r="I230" s="54" t="e">
        <f t="shared" si="13"/>
        <v>#REF!</v>
      </c>
      <c r="J230" s="48">
        <v>0</v>
      </c>
      <c r="K230" s="52">
        <f t="shared" si="11"/>
        <v>0</v>
      </c>
      <c r="L230" s="53"/>
      <c r="M230" s="53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53"/>
      <c r="AG230" s="53"/>
      <c r="AH230" s="53"/>
    </row>
    <row r="231" spans="1:34" x14ac:dyDescent="0.25">
      <c r="A231" s="53"/>
      <c r="B231" s="53"/>
      <c r="C231" s="53"/>
      <c r="D231" s="53"/>
      <c r="E231" s="53" t="s">
        <v>12</v>
      </c>
      <c r="F231" s="53" t="e">
        <f>VLOOKUP(E231,'Price indx'!#REF!,3,FALSE)</f>
        <v>#REF!</v>
      </c>
      <c r="G231" s="53"/>
      <c r="H231" s="52" t="e">
        <f t="shared" si="12"/>
        <v>#REF!</v>
      </c>
      <c r="I231" s="54" t="e">
        <f t="shared" si="13"/>
        <v>#REF!</v>
      </c>
      <c r="J231" s="48">
        <v>0</v>
      </c>
      <c r="K231" s="52">
        <f t="shared" si="11"/>
        <v>0</v>
      </c>
      <c r="L231" s="53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53"/>
      <c r="AG231" s="53"/>
      <c r="AH231" s="53"/>
    </row>
    <row r="232" spans="1:34" x14ac:dyDescent="0.25">
      <c r="A232" s="53"/>
      <c r="B232" s="53"/>
      <c r="C232" s="53"/>
      <c r="D232" s="53"/>
      <c r="E232" s="53" t="s">
        <v>12</v>
      </c>
      <c r="F232" s="53" t="e">
        <f>VLOOKUP(E232,'Price indx'!#REF!,3,FALSE)</f>
        <v>#REF!</v>
      </c>
      <c r="G232" s="53"/>
      <c r="H232" s="52" t="e">
        <f t="shared" si="12"/>
        <v>#REF!</v>
      </c>
      <c r="I232" s="54" t="e">
        <f t="shared" si="13"/>
        <v>#REF!</v>
      </c>
      <c r="J232" s="48">
        <v>0</v>
      </c>
      <c r="K232" s="52">
        <f t="shared" si="11"/>
        <v>0</v>
      </c>
      <c r="L232" s="53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53"/>
      <c r="AG232" s="53"/>
      <c r="AH232" s="53"/>
    </row>
    <row r="233" spans="1:34" x14ac:dyDescent="0.25">
      <c r="A233" s="53"/>
      <c r="B233" s="53"/>
      <c r="C233" s="53"/>
      <c r="D233" s="53"/>
      <c r="E233" s="53" t="s">
        <v>12</v>
      </c>
      <c r="F233" s="53" t="e">
        <f>VLOOKUP(E233,'Price indx'!#REF!,3,FALSE)</f>
        <v>#REF!</v>
      </c>
      <c r="G233" s="53"/>
      <c r="H233" s="52" t="e">
        <f t="shared" si="12"/>
        <v>#REF!</v>
      </c>
      <c r="I233" s="54" t="e">
        <f t="shared" si="13"/>
        <v>#REF!</v>
      </c>
      <c r="J233" s="48">
        <v>0</v>
      </c>
      <c r="K233" s="52">
        <f t="shared" si="11"/>
        <v>0</v>
      </c>
      <c r="L233" s="53"/>
      <c r="M233" s="53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53"/>
      <c r="AG233" s="53"/>
      <c r="AH233" s="53"/>
    </row>
    <row r="234" spans="1:34" x14ac:dyDescent="0.25">
      <c r="A234" s="53"/>
      <c r="B234" s="53"/>
      <c r="C234" s="53"/>
      <c r="D234" s="53"/>
      <c r="E234" s="53" t="s">
        <v>12</v>
      </c>
      <c r="F234" s="53" t="e">
        <f>VLOOKUP(E234,'Price indx'!#REF!,3,FALSE)</f>
        <v>#REF!</v>
      </c>
      <c r="G234" s="53"/>
      <c r="H234" s="52" t="e">
        <f t="shared" si="12"/>
        <v>#REF!</v>
      </c>
      <c r="I234" s="54" t="e">
        <f t="shared" si="13"/>
        <v>#REF!</v>
      </c>
      <c r="J234" s="48">
        <v>0</v>
      </c>
      <c r="K234" s="52">
        <f t="shared" si="11"/>
        <v>0</v>
      </c>
      <c r="L234" s="53"/>
      <c r="M234" s="53"/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53"/>
      <c r="AG234" s="53"/>
      <c r="AH234" s="53"/>
    </row>
    <row r="235" spans="1:34" x14ac:dyDescent="0.25">
      <c r="A235" s="53"/>
      <c r="B235" s="53"/>
      <c r="C235" s="53"/>
      <c r="D235" s="53"/>
      <c r="E235" s="53" t="s">
        <v>12</v>
      </c>
      <c r="F235" s="53" t="e">
        <f>VLOOKUP(E235,'Price indx'!#REF!,3,FALSE)</f>
        <v>#REF!</v>
      </c>
      <c r="G235" s="53"/>
      <c r="H235" s="52" t="e">
        <f t="shared" si="12"/>
        <v>#REF!</v>
      </c>
      <c r="I235" s="54" t="e">
        <f t="shared" si="13"/>
        <v>#REF!</v>
      </c>
      <c r="J235" s="48">
        <v>0</v>
      </c>
      <c r="K235" s="52">
        <f t="shared" si="11"/>
        <v>0</v>
      </c>
      <c r="L235" s="53"/>
      <c r="M235" s="53"/>
      <c r="N235" s="53"/>
      <c r="O235" s="53"/>
      <c r="P235" s="53"/>
      <c r="Q235" s="53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53"/>
      <c r="AG235" s="53"/>
      <c r="AH235" s="53"/>
    </row>
    <row r="236" spans="1:34" x14ac:dyDescent="0.25">
      <c r="A236" s="53"/>
      <c r="B236" s="53"/>
      <c r="C236" s="53"/>
      <c r="D236" s="53"/>
      <c r="E236" s="53" t="s">
        <v>12</v>
      </c>
      <c r="F236" s="53" t="e">
        <f>VLOOKUP(E236,'Price indx'!#REF!,3,FALSE)</f>
        <v>#REF!</v>
      </c>
      <c r="G236" s="53"/>
      <c r="H236" s="52" t="e">
        <f t="shared" si="12"/>
        <v>#REF!</v>
      </c>
      <c r="I236" s="54" t="e">
        <f t="shared" si="13"/>
        <v>#REF!</v>
      </c>
      <c r="J236" s="48">
        <v>0</v>
      </c>
      <c r="K236" s="52">
        <f t="shared" si="11"/>
        <v>0</v>
      </c>
      <c r="L236" s="53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53"/>
      <c r="AG236" s="53"/>
      <c r="AH236" s="53"/>
    </row>
    <row r="237" spans="1:34" x14ac:dyDescent="0.25">
      <c r="A237" s="53"/>
      <c r="B237" s="53"/>
      <c r="C237" s="53"/>
      <c r="D237" s="53"/>
      <c r="E237" s="53" t="s">
        <v>12</v>
      </c>
      <c r="F237" s="53" t="e">
        <f>VLOOKUP(E237,'Price indx'!#REF!,3,FALSE)</f>
        <v>#REF!</v>
      </c>
      <c r="G237" s="53"/>
      <c r="H237" s="52" t="e">
        <f t="shared" si="12"/>
        <v>#REF!</v>
      </c>
      <c r="I237" s="54" t="e">
        <f t="shared" si="13"/>
        <v>#REF!</v>
      </c>
      <c r="J237" s="48">
        <v>0</v>
      </c>
      <c r="K237" s="52">
        <f t="shared" si="11"/>
        <v>0</v>
      </c>
      <c r="L237" s="53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53"/>
      <c r="AG237" s="53"/>
      <c r="AH237" s="53"/>
    </row>
    <row r="238" spans="1:34" x14ac:dyDescent="0.25">
      <c r="A238" s="53"/>
      <c r="B238" s="53"/>
      <c r="C238" s="53"/>
      <c r="D238" s="53"/>
      <c r="E238" s="53" t="s">
        <v>12</v>
      </c>
      <c r="F238" s="53" t="e">
        <f>VLOOKUP(E238,'Price indx'!#REF!,3,FALSE)</f>
        <v>#REF!</v>
      </c>
      <c r="G238" s="53"/>
      <c r="H238" s="52" t="e">
        <f t="shared" si="12"/>
        <v>#REF!</v>
      </c>
      <c r="I238" s="54" t="e">
        <f t="shared" si="13"/>
        <v>#REF!</v>
      </c>
      <c r="J238" s="48">
        <v>0</v>
      </c>
      <c r="K238" s="52">
        <f t="shared" si="11"/>
        <v>0</v>
      </c>
      <c r="L238" s="53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53"/>
      <c r="AG238" s="53"/>
      <c r="AH238" s="53"/>
    </row>
    <row r="239" spans="1:34" x14ac:dyDescent="0.25">
      <c r="A239" s="53"/>
      <c r="B239" s="53"/>
      <c r="C239" s="53"/>
      <c r="D239" s="53"/>
      <c r="E239" s="53" t="s">
        <v>12</v>
      </c>
      <c r="F239" s="53" t="e">
        <f>VLOOKUP(E239,'Price indx'!#REF!,3,FALSE)</f>
        <v>#REF!</v>
      </c>
      <c r="G239" s="53"/>
      <c r="H239" s="52" t="e">
        <f t="shared" si="12"/>
        <v>#REF!</v>
      </c>
      <c r="I239" s="54" t="e">
        <f t="shared" si="13"/>
        <v>#REF!</v>
      </c>
      <c r="J239" s="48">
        <v>0</v>
      </c>
      <c r="K239" s="52">
        <f t="shared" si="11"/>
        <v>0</v>
      </c>
      <c r="L239" s="53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53"/>
      <c r="AG239" s="53"/>
      <c r="AH239" s="53"/>
    </row>
    <row r="240" spans="1:34" x14ac:dyDescent="0.25">
      <c r="A240" s="53"/>
      <c r="B240" s="53"/>
      <c r="C240" s="53"/>
      <c r="D240" s="53"/>
      <c r="E240" s="53" t="s">
        <v>12</v>
      </c>
      <c r="F240" s="53" t="e">
        <f>VLOOKUP(E240,'Price indx'!#REF!,3,FALSE)</f>
        <v>#REF!</v>
      </c>
      <c r="G240" s="53"/>
      <c r="H240" s="52" t="e">
        <f t="shared" si="12"/>
        <v>#REF!</v>
      </c>
      <c r="I240" s="54" t="e">
        <f t="shared" si="13"/>
        <v>#REF!</v>
      </c>
      <c r="J240" s="48">
        <v>0</v>
      </c>
      <c r="K240" s="52">
        <f t="shared" si="11"/>
        <v>0</v>
      </c>
      <c r="L240" s="53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53"/>
      <c r="AG240" s="53"/>
      <c r="AH240" s="53"/>
    </row>
    <row r="241" spans="1:34" x14ac:dyDescent="0.25">
      <c r="A241" s="53"/>
      <c r="B241" s="53"/>
      <c r="C241" s="53"/>
      <c r="D241" s="53"/>
      <c r="E241" s="53" t="s">
        <v>12</v>
      </c>
      <c r="F241" s="53" t="e">
        <f>VLOOKUP(E241,'Price indx'!#REF!,3,FALSE)</f>
        <v>#REF!</v>
      </c>
      <c r="G241" s="53"/>
      <c r="H241" s="52" t="e">
        <f t="shared" si="12"/>
        <v>#REF!</v>
      </c>
      <c r="I241" s="54" t="e">
        <f t="shared" si="13"/>
        <v>#REF!</v>
      </c>
      <c r="J241" s="48">
        <v>0</v>
      </c>
      <c r="K241" s="52">
        <f t="shared" si="11"/>
        <v>0</v>
      </c>
      <c r="L241" s="53"/>
      <c r="M241" s="53"/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53"/>
      <c r="AG241" s="53"/>
      <c r="AH241" s="53"/>
    </row>
    <row r="242" spans="1:34" x14ac:dyDescent="0.25">
      <c r="A242" s="53"/>
      <c r="B242" s="53"/>
      <c r="C242" s="53"/>
      <c r="D242" s="53"/>
      <c r="E242" s="53" t="s">
        <v>12</v>
      </c>
      <c r="F242" s="53" t="e">
        <f>VLOOKUP(E242,'Price indx'!#REF!,3,FALSE)</f>
        <v>#REF!</v>
      </c>
      <c r="G242" s="53"/>
      <c r="H242" s="52" t="e">
        <f t="shared" si="12"/>
        <v>#REF!</v>
      </c>
      <c r="I242" s="54" t="e">
        <f t="shared" si="13"/>
        <v>#REF!</v>
      </c>
      <c r="J242" s="48">
        <v>0</v>
      </c>
      <c r="K242" s="52">
        <f t="shared" si="11"/>
        <v>0</v>
      </c>
      <c r="L242" s="53"/>
      <c r="M242" s="53"/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53"/>
      <c r="AG242" s="53"/>
      <c r="AH242" s="53"/>
    </row>
    <row r="243" spans="1:34" x14ac:dyDescent="0.25">
      <c r="A243" s="53"/>
      <c r="B243" s="53"/>
      <c r="C243" s="53"/>
      <c r="D243" s="53"/>
      <c r="E243" s="53" t="s">
        <v>12</v>
      </c>
      <c r="F243" s="53" t="e">
        <f>VLOOKUP(E243,'Price indx'!#REF!,3,FALSE)</f>
        <v>#REF!</v>
      </c>
      <c r="G243" s="53"/>
      <c r="H243" s="52" t="e">
        <f t="shared" si="12"/>
        <v>#REF!</v>
      </c>
      <c r="I243" s="54" t="e">
        <f t="shared" si="13"/>
        <v>#REF!</v>
      </c>
      <c r="J243" s="48">
        <v>0</v>
      </c>
      <c r="K243" s="52">
        <f t="shared" si="11"/>
        <v>0</v>
      </c>
      <c r="L243" s="5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53"/>
      <c r="AG243" s="53"/>
      <c r="AH243" s="53"/>
    </row>
    <row r="244" spans="1:34" x14ac:dyDescent="0.25">
      <c r="A244" s="53"/>
      <c r="B244" s="53"/>
      <c r="C244" s="53"/>
      <c r="D244" s="53"/>
      <c r="E244" s="53" t="s">
        <v>12</v>
      </c>
      <c r="F244" s="53" t="e">
        <f>VLOOKUP(E244,'Price indx'!#REF!,3,FALSE)</f>
        <v>#REF!</v>
      </c>
      <c r="G244" s="53"/>
      <c r="H244" s="52" t="e">
        <f t="shared" si="12"/>
        <v>#REF!</v>
      </c>
      <c r="I244" s="54" t="e">
        <f t="shared" si="13"/>
        <v>#REF!</v>
      </c>
      <c r="J244" s="48">
        <v>0</v>
      </c>
      <c r="K244" s="52">
        <f t="shared" si="11"/>
        <v>0</v>
      </c>
      <c r="L244" s="53"/>
      <c r="M244" s="53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53"/>
      <c r="AG244" s="53"/>
      <c r="AH244" s="53"/>
    </row>
    <row r="245" spans="1:34" x14ac:dyDescent="0.25">
      <c r="A245" s="53"/>
      <c r="B245" s="53"/>
      <c r="C245" s="53"/>
      <c r="D245" s="53"/>
      <c r="E245" s="53" t="s">
        <v>12</v>
      </c>
      <c r="F245" s="53" t="e">
        <f>VLOOKUP(E245,'Price indx'!#REF!,3,FALSE)</f>
        <v>#REF!</v>
      </c>
      <c r="G245" s="53"/>
      <c r="H245" s="52" t="e">
        <f t="shared" si="12"/>
        <v>#REF!</v>
      </c>
      <c r="I245" s="54" t="e">
        <f t="shared" si="13"/>
        <v>#REF!</v>
      </c>
      <c r="J245" s="48">
        <v>0</v>
      </c>
      <c r="K245" s="52">
        <f t="shared" si="11"/>
        <v>0</v>
      </c>
      <c r="L245" s="53"/>
      <c r="M245" s="53"/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53"/>
      <c r="AG245" s="53"/>
      <c r="AH245" s="53"/>
    </row>
    <row r="246" spans="1:34" x14ac:dyDescent="0.25">
      <c r="A246" s="53"/>
      <c r="B246" s="53"/>
      <c r="C246" s="53"/>
      <c r="D246" s="53"/>
      <c r="E246" s="53" t="s">
        <v>12</v>
      </c>
      <c r="F246" s="53" t="e">
        <f>VLOOKUP(E246,'Price indx'!#REF!,3,FALSE)</f>
        <v>#REF!</v>
      </c>
      <c r="G246" s="53"/>
      <c r="H246" s="52" t="e">
        <f t="shared" si="12"/>
        <v>#REF!</v>
      </c>
      <c r="I246" s="54" t="e">
        <f t="shared" si="13"/>
        <v>#REF!</v>
      </c>
      <c r="J246" s="48">
        <v>0</v>
      </c>
      <c r="K246" s="52">
        <f t="shared" si="11"/>
        <v>0</v>
      </c>
      <c r="L246" s="53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53"/>
      <c r="AG246" s="53"/>
      <c r="AH246" s="53"/>
    </row>
    <row r="247" spans="1:34" x14ac:dyDescent="0.25">
      <c r="A247" s="53"/>
      <c r="B247" s="53"/>
      <c r="C247" s="53"/>
      <c r="D247" s="53"/>
      <c r="E247" s="53" t="s">
        <v>12</v>
      </c>
      <c r="F247" s="53" t="e">
        <f>VLOOKUP(E247,'Price indx'!#REF!,3,FALSE)</f>
        <v>#REF!</v>
      </c>
      <c r="G247" s="53"/>
      <c r="H247" s="52" t="e">
        <f t="shared" si="12"/>
        <v>#REF!</v>
      </c>
      <c r="I247" s="54" t="e">
        <f t="shared" si="13"/>
        <v>#REF!</v>
      </c>
      <c r="J247" s="48">
        <v>0</v>
      </c>
      <c r="K247" s="52">
        <f t="shared" si="11"/>
        <v>0</v>
      </c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53"/>
      <c r="AG247" s="53"/>
      <c r="AH247" s="53"/>
    </row>
    <row r="248" spans="1:34" x14ac:dyDescent="0.25">
      <c r="A248" s="53"/>
      <c r="B248" s="53"/>
      <c r="C248" s="53"/>
      <c r="D248" s="53"/>
      <c r="E248" s="53" t="s">
        <v>12</v>
      </c>
      <c r="F248" s="53" t="e">
        <f>VLOOKUP(E248,'Price indx'!#REF!,3,FALSE)</f>
        <v>#REF!</v>
      </c>
      <c r="G248" s="53"/>
      <c r="H248" s="52" t="e">
        <f t="shared" si="12"/>
        <v>#REF!</v>
      </c>
      <c r="I248" s="54" t="e">
        <f t="shared" si="13"/>
        <v>#REF!</v>
      </c>
      <c r="J248" s="48">
        <v>0</v>
      </c>
      <c r="K248" s="52">
        <f t="shared" si="11"/>
        <v>0</v>
      </c>
      <c r="L248" s="53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53"/>
      <c r="AG248" s="53"/>
      <c r="AH248" s="53"/>
    </row>
    <row r="249" spans="1:34" x14ac:dyDescent="0.25">
      <c r="A249" s="53"/>
      <c r="B249" s="53"/>
      <c r="C249" s="53"/>
      <c r="D249" s="53"/>
      <c r="E249" s="53" t="s">
        <v>12</v>
      </c>
      <c r="F249" s="53" t="e">
        <f>VLOOKUP(E249,'Price indx'!#REF!,3,FALSE)</f>
        <v>#REF!</v>
      </c>
      <c r="G249" s="53"/>
      <c r="H249" s="52" t="e">
        <f t="shared" si="12"/>
        <v>#REF!</v>
      </c>
      <c r="I249" s="54" t="e">
        <f t="shared" si="13"/>
        <v>#REF!</v>
      </c>
      <c r="J249" s="48">
        <v>0</v>
      </c>
      <c r="K249" s="52">
        <f t="shared" si="11"/>
        <v>0</v>
      </c>
      <c r="L249" s="53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53"/>
      <c r="AG249" s="53"/>
      <c r="AH249" s="53"/>
    </row>
    <row r="250" spans="1:34" x14ac:dyDescent="0.25">
      <c r="A250" s="53"/>
      <c r="B250" s="53"/>
      <c r="C250" s="53"/>
      <c r="D250" s="53"/>
      <c r="E250" s="53" t="s">
        <v>12</v>
      </c>
      <c r="F250" s="53" t="e">
        <f>VLOOKUP(E250,'Price indx'!#REF!,3,FALSE)</f>
        <v>#REF!</v>
      </c>
      <c r="G250" s="53"/>
      <c r="H250" s="52" t="e">
        <f t="shared" si="12"/>
        <v>#REF!</v>
      </c>
      <c r="I250" s="54" t="e">
        <f t="shared" si="13"/>
        <v>#REF!</v>
      </c>
      <c r="J250" s="48">
        <v>0</v>
      </c>
      <c r="K250" s="52">
        <f t="shared" si="11"/>
        <v>0</v>
      </c>
      <c r="L250" s="53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53"/>
      <c r="AG250" s="53"/>
      <c r="AH250" s="53"/>
    </row>
    <row r="251" spans="1:34" x14ac:dyDescent="0.25">
      <c r="A251" s="53"/>
      <c r="B251" s="53"/>
      <c r="C251" s="53"/>
      <c r="D251" s="53"/>
      <c r="E251" s="53" t="s">
        <v>12</v>
      </c>
      <c r="F251" s="53" t="e">
        <f>VLOOKUP(E251,'Price indx'!#REF!,3,FALSE)</f>
        <v>#REF!</v>
      </c>
      <c r="G251" s="53"/>
      <c r="H251" s="52" t="e">
        <f t="shared" si="12"/>
        <v>#REF!</v>
      </c>
      <c r="I251" s="54" t="e">
        <f t="shared" si="13"/>
        <v>#REF!</v>
      </c>
      <c r="J251" s="48">
        <v>0</v>
      </c>
      <c r="K251" s="52">
        <f t="shared" si="11"/>
        <v>0</v>
      </c>
      <c r="L251" s="53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53"/>
      <c r="AG251" s="53"/>
      <c r="AH251" s="53"/>
    </row>
    <row r="252" spans="1:34" x14ac:dyDescent="0.25">
      <c r="A252" s="53"/>
      <c r="B252" s="53"/>
      <c r="C252" s="53"/>
      <c r="D252" s="53"/>
      <c r="E252" s="53" t="s">
        <v>12</v>
      </c>
      <c r="F252" s="53" t="e">
        <f>VLOOKUP(E252,'Price indx'!#REF!,3,FALSE)</f>
        <v>#REF!</v>
      </c>
      <c r="G252" s="53"/>
      <c r="H252" s="52" t="e">
        <f t="shared" si="12"/>
        <v>#REF!</v>
      </c>
      <c r="I252" s="54" t="e">
        <f t="shared" si="13"/>
        <v>#REF!</v>
      </c>
      <c r="J252" s="48">
        <v>0</v>
      </c>
      <c r="K252" s="52">
        <f t="shared" si="11"/>
        <v>0</v>
      </c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53"/>
      <c r="AG252" s="53"/>
      <c r="AH252" s="53"/>
    </row>
    <row r="253" spans="1:34" x14ac:dyDescent="0.25">
      <c r="A253" s="53"/>
      <c r="B253" s="53"/>
      <c r="C253" s="53"/>
      <c r="D253" s="53"/>
      <c r="E253" s="53" t="s">
        <v>12</v>
      </c>
      <c r="F253" s="53" t="e">
        <f>VLOOKUP(E253,'Price indx'!#REF!,3,FALSE)</f>
        <v>#REF!</v>
      </c>
      <c r="G253" s="53"/>
      <c r="H253" s="52" t="e">
        <f t="shared" si="12"/>
        <v>#REF!</v>
      </c>
      <c r="I253" s="54" t="e">
        <f t="shared" si="13"/>
        <v>#REF!</v>
      </c>
      <c r="J253" s="48">
        <v>0</v>
      </c>
      <c r="K253" s="52">
        <f t="shared" si="11"/>
        <v>0</v>
      </c>
      <c r="L253" s="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53"/>
      <c r="AG253" s="53"/>
      <c r="AH253" s="53"/>
    </row>
    <row r="254" spans="1:34" x14ac:dyDescent="0.25">
      <c r="A254" s="53"/>
      <c r="B254" s="53"/>
      <c r="C254" s="53"/>
      <c r="D254" s="53"/>
      <c r="E254" s="53" t="s">
        <v>12</v>
      </c>
      <c r="F254" s="53" t="e">
        <f>VLOOKUP(E254,'Price indx'!#REF!,3,FALSE)</f>
        <v>#REF!</v>
      </c>
      <c r="G254" s="53"/>
      <c r="H254" s="52" t="e">
        <f t="shared" si="12"/>
        <v>#REF!</v>
      </c>
      <c r="I254" s="54" t="e">
        <f t="shared" si="13"/>
        <v>#REF!</v>
      </c>
      <c r="J254" s="48">
        <v>0</v>
      </c>
      <c r="K254" s="52">
        <f t="shared" si="11"/>
        <v>0</v>
      </c>
      <c r="L254" s="53"/>
      <c r="M254" s="53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53"/>
      <c r="AG254" s="53"/>
      <c r="AH254" s="53"/>
    </row>
    <row r="255" spans="1:34" x14ac:dyDescent="0.25">
      <c r="A255" s="53"/>
      <c r="B255" s="53"/>
      <c r="C255" s="53"/>
      <c r="D255" s="53"/>
      <c r="E255" s="53" t="s">
        <v>12</v>
      </c>
      <c r="F255" s="53" t="e">
        <f>VLOOKUP(E255,'Price indx'!#REF!,3,FALSE)</f>
        <v>#REF!</v>
      </c>
      <c r="G255" s="53"/>
      <c r="H255" s="52" t="e">
        <f t="shared" si="12"/>
        <v>#REF!</v>
      </c>
      <c r="I255" s="54" t="e">
        <f t="shared" si="13"/>
        <v>#REF!</v>
      </c>
      <c r="J255" s="48">
        <v>0</v>
      </c>
      <c r="K255" s="52">
        <f t="shared" si="11"/>
        <v>0</v>
      </c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53"/>
      <c r="AG255" s="53"/>
      <c r="AH255" s="53"/>
    </row>
    <row r="256" spans="1:34" x14ac:dyDescent="0.25">
      <c r="A256" s="53"/>
      <c r="B256" s="53"/>
      <c r="C256" s="53"/>
      <c r="D256" s="53"/>
      <c r="E256" s="53" t="s">
        <v>12</v>
      </c>
      <c r="F256" s="53" t="e">
        <f>VLOOKUP(E256,'Price indx'!#REF!,3,FALSE)</f>
        <v>#REF!</v>
      </c>
      <c r="G256" s="53"/>
      <c r="H256" s="52" t="e">
        <f t="shared" si="12"/>
        <v>#REF!</v>
      </c>
      <c r="I256" s="54" t="e">
        <f t="shared" si="13"/>
        <v>#REF!</v>
      </c>
      <c r="J256" s="48">
        <v>0</v>
      </c>
      <c r="K256" s="52">
        <f t="shared" si="11"/>
        <v>0</v>
      </c>
      <c r="L256" s="53"/>
      <c r="M256" s="53"/>
      <c r="N256" s="53"/>
      <c r="O256" s="53"/>
      <c r="P256" s="53"/>
      <c r="Q256" s="53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53"/>
      <c r="AG256" s="53"/>
      <c r="AH256" s="53"/>
    </row>
    <row r="257" spans="1:34" x14ac:dyDescent="0.25">
      <c r="A257" s="53"/>
      <c r="B257" s="53"/>
      <c r="C257" s="53"/>
      <c r="D257" s="53"/>
      <c r="E257" s="53" t="s">
        <v>12</v>
      </c>
      <c r="F257" s="53" t="e">
        <f>VLOOKUP(E257,'Price indx'!#REF!,3,FALSE)</f>
        <v>#REF!</v>
      </c>
      <c r="G257" s="53"/>
      <c r="H257" s="52" t="e">
        <f t="shared" si="12"/>
        <v>#REF!</v>
      </c>
      <c r="I257" s="54" t="e">
        <f t="shared" si="13"/>
        <v>#REF!</v>
      </c>
      <c r="J257" s="48">
        <v>0</v>
      </c>
      <c r="K257" s="52">
        <f t="shared" si="11"/>
        <v>0</v>
      </c>
      <c r="L257" s="53"/>
      <c r="M257" s="53"/>
      <c r="N257" s="53"/>
      <c r="O257" s="53"/>
      <c r="P257" s="53"/>
      <c r="Q257" s="53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53"/>
      <c r="AG257" s="53"/>
      <c r="AH257" s="53"/>
    </row>
    <row r="258" spans="1:34" x14ac:dyDescent="0.25">
      <c r="A258" s="53"/>
      <c r="B258" s="53"/>
      <c r="C258" s="53"/>
      <c r="D258" s="53"/>
      <c r="E258" s="53" t="s">
        <v>12</v>
      </c>
      <c r="F258" s="53" t="e">
        <f>VLOOKUP(E258,'Price indx'!#REF!,3,FALSE)</f>
        <v>#REF!</v>
      </c>
      <c r="G258" s="53"/>
      <c r="H258" s="52" t="e">
        <f t="shared" si="12"/>
        <v>#REF!</v>
      </c>
      <c r="I258" s="54" t="e">
        <f t="shared" si="13"/>
        <v>#REF!</v>
      </c>
      <c r="J258" s="48">
        <v>0</v>
      </c>
      <c r="K258" s="52">
        <f t="shared" si="11"/>
        <v>0</v>
      </c>
      <c r="L258" s="53"/>
      <c r="M258" s="53"/>
      <c r="N258" s="53"/>
      <c r="O258" s="53"/>
      <c r="P258" s="53"/>
      <c r="Q258" s="53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53"/>
      <c r="AG258" s="53"/>
      <c r="AH258" s="53"/>
    </row>
    <row r="259" spans="1:34" x14ac:dyDescent="0.25">
      <c r="A259" s="53"/>
      <c r="B259" s="53"/>
      <c r="C259" s="53"/>
      <c r="D259" s="53"/>
      <c r="E259" s="53" t="s">
        <v>12</v>
      </c>
      <c r="F259" s="53" t="e">
        <f>VLOOKUP(E259,'Price indx'!#REF!,3,FALSE)</f>
        <v>#REF!</v>
      </c>
      <c r="G259" s="53"/>
      <c r="H259" s="52" t="e">
        <f t="shared" si="12"/>
        <v>#REF!</v>
      </c>
      <c r="I259" s="54" t="e">
        <f t="shared" si="13"/>
        <v>#REF!</v>
      </c>
      <c r="J259" s="48">
        <v>0</v>
      </c>
      <c r="K259" s="52">
        <f t="shared" si="11"/>
        <v>0</v>
      </c>
      <c r="L259" s="53"/>
      <c r="M259" s="53"/>
      <c r="N259" s="53"/>
      <c r="O259" s="53"/>
      <c r="P259" s="53"/>
      <c r="Q259" s="53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53"/>
      <c r="AG259" s="53"/>
      <c r="AH259" s="53"/>
    </row>
    <row r="260" spans="1:34" x14ac:dyDescent="0.25">
      <c r="A260" s="53"/>
      <c r="B260" s="53"/>
      <c r="C260" s="53"/>
      <c r="D260" s="53"/>
      <c r="E260" s="53" t="s">
        <v>12</v>
      </c>
      <c r="F260" s="53" t="e">
        <f>VLOOKUP(E260,'Price indx'!#REF!,3,FALSE)</f>
        <v>#REF!</v>
      </c>
      <c r="G260" s="53"/>
      <c r="H260" s="52" t="e">
        <f t="shared" si="12"/>
        <v>#REF!</v>
      </c>
      <c r="I260" s="54" t="e">
        <f t="shared" si="13"/>
        <v>#REF!</v>
      </c>
      <c r="J260" s="48">
        <v>0</v>
      </c>
      <c r="K260" s="52">
        <f t="shared" ref="K260:K323" si="14">IF(A260=0,(C260),(0))</f>
        <v>0</v>
      </c>
      <c r="L260" s="53"/>
      <c r="M260" s="53"/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53"/>
      <c r="AG260" s="53"/>
      <c r="AH260" s="53"/>
    </row>
    <row r="261" spans="1:34" x14ac:dyDescent="0.25">
      <c r="A261" s="53"/>
      <c r="B261" s="53"/>
      <c r="C261" s="53"/>
      <c r="D261" s="53"/>
      <c r="E261" s="53" t="s">
        <v>12</v>
      </c>
      <c r="F261" s="53" t="e">
        <f>VLOOKUP(E261,'Price indx'!#REF!,3,FALSE)</f>
        <v>#REF!</v>
      </c>
      <c r="G261" s="53"/>
      <c r="H261" s="52" t="e">
        <f t="shared" ref="H261:H324" si="15">G261*F261</f>
        <v>#REF!</v>
      </c>
      <c r="I261" s="54" t="e">
        <f t="shared" ref="I261:I324" si="16">H261/C261-1</f>
        <v>#REF!</v>
      </c>
      <c r="J261" s="48">
        <v>0</v>
      </c>
      <c r="K261" s="52">
        <f t="shared" si="14"/>
        <v>0</v>
      </c>
      <c r="L261" s="53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53"/>
      <c r="AG261" s="53"/>
      <c r="AH261" s="53"/>
    </row>
    <row r="262" spans="1:34" x14ac:dyDescent="0.25">
      <c r="A262" s="53"/>
      <c r="B262" s="53"/>
      <c r="C262" s="53"/>
      <c r="D262" s="53"/>
      <c r="E262" s="53" t="s">
        <v>12</v>
      </c>
      <c r="F262" s="53" t="e">
        <f>VLOOKUP(E262,'Price indx'!#REF!,3,FALSE)</f>
        <v>#REF!</v>
      </c>
      <c r="G262" s="53"/>
      <c r="H262" s="52" t="e">
        <f t="shared" si="15"/>
        <v>#REF!</v>
      </c>
      <c r="I262" s="54" t="e">
        <f t="shared" si="16"/>
        <v>#REF!</v>
      </c>
      <c r="J262" s="48">
        <v>0</v>
      </c>
      <c r="K262" s="52">
        <f t="shared" si="14"/>
        <v>0</v>
      </c>
      <c r="L262" s="53"/>
      <c r="M262" s="53"/>
      <c r="N262" s="53"/>
      <c r="O262" s="53"/>
      <c r="P262" s="53"/>
      <c r="Q262" s="53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53"/>
      <c r="AG262" s="53"/>
      <c r="AH262" s="53"/>
    </row>
    <row r="263" spans="1:34" x14ac:dyDescent="0.25">
      <c r="A263" s="53"/>
      <c r="B263" s="53"/>
      <c r="C263" s="53"/>
      <c r="D263" s="53"/>
      <c r="E263" s="53" t="s">
        <v>12</v>
      </c>
      <c r="F263" s="53" t="e">
        <f>VLOOKUP(E263,'Price indx'!#REF!,3,FALSE)</f>
        <v>#REF!</v>
      </c>
      <c r="G263" s="53"/>
      <c r="H263" s="52" t="e">
        <f t="shared" si="15"/>
        <v>#REF!</v>
      </c>
      <c r="I263" s="54" t="e">
        <f t="shared" si="16"/>
        <v>#REF!</v>
      </c>
      <c r="J263" s="48">
        <v>0</v>
      </c>
      <c r="K263" s="52">
        <f t="shared" si="14"/>
        <v>0</v>
      </c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53"/>
      <c r="AG263" s="53"/>
      <c r="AH263" s="53"/>
    </row>
    <row r="264" spans="1:34" x14ac:dyDescent="0.25">
      <c r="A264" s="53"/>
      <c r="B264" s="53"/>
      <c r="C264" s="53"/>
      <c r="D264" s="53"/>
      <c r="E264" s="53" t="s">
        <v>12</v>
      </c>
      <c r="F264" s="53" t="e">
        <f>VLOOKUP(E264,'Price indx'!#REF!,3,FALSE)</f>
        <v>#REF!</v>
      </c>
      <c r="G264" s="53"/>
      <c r="H264" s="52" t="e">
        <f t="shared" si="15"/>
        <v>#REF!</v>
      </c>
      <c r="I264" s="54" t="e">
        <f t="shared" si="16"/>
        <v>#REF!</v>
      </c>
      <c r="J264" s="48">
        <v>0</v>
      </c>
      <c r="K264" s="52">
        <f t="shared" si="14"/>
        <v>0</v>
      </c>
      <c r="L264" s="53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53"/>
      <c r="AG264" s="53"/>
      <c r="AH264" s="53"/>
    </row>
    <row r="265" spans="1:34" x14ac:dyDescent="0.25">
      <c r="A265" s="53"/>
      <c r="B265" s="53"/>
      <c r="C265" s="53"/>
      <c r="D265" s="53"/>
      <c r="E265" s="53" t="s">
        <v>12</v>
      </c>
      <c r="F265" s="53" t="e">
        <f>VLOOKUP(E265,'Price indx'!#REF!,3,FALSE)</f>
        <v>#REF!</v>
      </c>
      <c r="G265" s="53"/>
      <c r="H265" s="52" t="e">
        <f t="shared" si="15"/>
        <v>#REF!</v>
      </c>
      <c r="I265" s="54" t="e">
        <f t="shared" si="16"/>
        <v>#REF!</v>
      </c>
      <c r="J265" s="48">
        <v>0</v>
      </c>
      <c r="K265" s="52">
        <f t="shared" si="14"/>
        <v>0</v>
      </c>
      <c r="L265" s="53"/>
      <c r="M265" s="53"/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53"/>
      <c r="AG265" s="53"/>
      <c r="AH265" s="53"/>
    </row>
    <row r="266" spans="1:34" x14ac:dyDescent="0.25">
      <c r="A266" s="53"/>
      <c r="B266" s="53"/>
      <c r="C266" s="53"/>
      <c r="D266" s="53"/>
      <c r="E266" s="53" t="s">
        <v>12</v>
      </c>
      <c r="F266" s="53" t="e">
        <f>VLOOKUP(E266,'Price indx'!#REF!,3,FALSE)</f>
        <v>#REF!</v>
      </c>
      <c r="G266" s="53"/>
      <c r="H266" s="52" t="e">
        <f t="shared" si="15"/>
        <v>#REF!</v>
      </c>
      <c r="I266" s="54" t="e">
        <f t="shared" si="16"/>
        <v>#REF!</v>
      </c>
      <c r="J266" s="48">
        <v>0</v>
      </c>
      <c r="K266" s="52">
        <f t="shared" si="14"/>
        <v>0</v>
      </c>
      <c r="L266" s="53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53"/>
      <c r="AG266" s="53"/>
      <c r="AH266" s="53"/>
    </row>
    <row r="267" spans="1:34" x14ac:dyDescent="0.25">
      <c r="A267" s="53"/>
      <c r="B267" s="53"/>
      <c r="C267" s="53"/>
      <c r="D267" s="53"/>
      <c r="E267" s="53" t="s">
        <v>12</v>
      </c>
      <c r="F267" s="53" t="e">
        <f>VLOOKUP(E267,'Price indx'!#REF!,3,FALSE)</f>
        <v>#REF!</v>
      </c>
      <c r="G267" s="53"/>
      <c r="H267" s="52" t="e">
        <f t="shared" si="15"/>
        <v>#REF!</v>
      </c>
      <c r="I267" s="54" t="e">
        <f t="shared" si="16"/>
        <v>#REF!</v>
      </c>
      <c r="J267" s="48">
        <v>0</v>
      </c>
      <c r="K267" s="52">
        <f t="shared" si="14"/>
        <v>0</v>
      </c>
      <c r="L267" s="53"/>
      <c r="M267" s="53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53"/>
      <c r="AG267" s="53"/>
      <c r="AH267" s="53"/>
    </row>
    <row r="268" spans="1:34" x14ac:dyDescent="0.25">
      <c r="A268" s="53"/>
      <c r="B268" s="53"/>
      <c r="C268" s="53"/>
      <c r="D268" s="53"/>
      <c r="E268" s="53" t="s">
        <v>12</v>
      </c>
      <c r="F268" s="53" t="e">
        <f>VLOOKUP(E268,'Price indx'!#REF!,3,FALSE)</f>
        <v>#REF!</v>
      </c>
      <c r="G268" s="53"/>
      <c r="H268" s="52" t="e">
        <f t="shared" si="15"/>
        <v>#REF!</v>
      </c>
      <c r="I268" s="54" t="e">
        <f t="shared" si="16"/>
        <v>#REF!</v>
      </c>
      <c r="J268" s="48">
        <v>0</v>
      </c>
      <c r="K268" s="52">
        <f t="shared" si="14"/>
        <v>0</v>
      </c>
      <c r="L268" s="53"/>
      <c r="M268" s="53"/>
      <c r="N268" s="53"/>
      <c r="O268" s="53"/>
      <c r="P268" s="53"/>
      <c r="Q268" s="53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53"/>
      <c r="AG268" s="53"/>
      <c r="AH268" s="53"/>
    </row>
    <row r="269" spans="1:34" x14ac:dyDescent="0.25">
      <c r="A269" s="53"/>
      <c r="B269" s="53"/>
      <c r="C269" s="53"/>
      <c r="D269" s="53"/>
      <c r="E269" s="53" t="s">
        <v>12</v>
      </c>
      <c r="F269" s="53" t="e">
        <f>VLOOKUP(E269,'Price indx'!#REF!,3,FALSE)</f>
        <v>#REF!</v>
      </c>
      <c r="G269" s="53"/>
      <c r="H269" s="52" t="e">
        <f t="shared" si="15"/>
        <v>#REF!</v>
      </c>
      <c r="I269" s="54" t="e">
        <f t="shared" si="16"/>
        <v>#REF!</v>
      </c>
      <c r="J269" s="48">
        <v>0</v>
      </c>
      <c r="K269" s="52">
        <f t="shared" si="14"/>
        <v>0</v>
      </c>
      <c r="L269" s="53"/>
      <c r="M269" s="53"/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53"/>
      <c r="AG269" s="53"/>
      <c r="AH269" s="53"/>
    </row>
    <row r="270" spans="1:34" x14ac:dyDescent="0.25">
      <c r="A270" s="53"/>
      <c r="B270" s="53"/>
      <c r="C270" s="53"/>
      <c r="D270" s="53"/>
      <c r="E270" s="53" t="s">
        <v>12</v>
      </c>
      <c r="F270" s="53" t="e">
        <f>VLOOKUP(E270,'Price indx'!#REF!,3,FALSE)</f>
        <v>#REF!</v>
      </c>
      <c r="G270" s="53"/>
      <c r="H270" s="52" t="e">
        <f t="shared" si="15"/>
        <v>#REF!</v>
      </c>
      <c r="I270" s="54" t="e">
        <f t="shared" si="16"/>
        <v>#REF!</v>
      </c>
      <c r="J270" s="48">
        <v>0</v>
      </c>
      <c r="K270" s="52">
        <f t="shared" si="14"/>
        <v>0</v>
      </c>
      <c r="L270" s="53"/>
      <c r="M270" s="53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53"/>
      <c r="AG270" s="53"/>
      <c r="AH270" s="53"/>
    </row>
    <row r="271" spans="1:34" x14ac:dyDescent="0.25">
      <c r="A271" s="53"/>
      <c r="B271" s="53"/>
      <c r="C271" s="53"/>
      <c r="D271" s="53"/>
      <c r="E271" s="53" t="s">
        <v>12</v>
      </c>
      <c r="F271" s="53" t="e">
        <f>VLOOKUP(E271,'Price indx'!#REF!,3,FALSE)</f>
        <v>#REF!</v>
      </c>
      <c r="G271" s="53"/>
      <c r="H271" s="52" t="e">
        <f t="shared" si="15"/>
        <v>#REF!</v>
      </c>
      <c r="I271" s="54" t="e">
        <f t="shared" si="16"/>
        <v>#REF!</v>
      </c>
      <c r="J271" s="48">
        <v>0</v>
      </c>
      <c r="K271" s="52">
        <f t="shared" si="14"/>
        <v>0</v>
      </c>
      <c r="L271" s="53"/>
      <c r="M271" s="53"/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53"/>
      <c r="AG271" s="53"/>
      <c r="AH271" s="53"/>
    </row>
    <row r="272" spans="1:34" x14ac:dyDescent="0.25">
      <c r="A272" s="53"/>
      <c r="B272" s="53"/>
      <c r="C272" s="53"/>
      <c r="D272" s="53"/>
      <c r="E272" s="53" t="s">
        <v>12</v>
      </c>
      <c r="F272" s="53" t="e">
        <f>VLOOKUP(E272,'Price indx'!#REF!,3,FALSE)</f>
        <v>#REF!</v>
      </c>
      <c r="G272" s="53"/>
      <c r="H272" s="52" t="e">
        <f t="shared" si="15"/>
        <v>#REF!</v>
      </c>
      <c r="I272" s="54" t="e">
        <f t="shared" si="16"/>
        <v>#REF!</v>
      </c>
      <c r="J272" s="48">
        <v>0</v>
      </c>
      <c r="K272" s="52">
        <f t="shared" si="14"/>
        <v>0</v>
      </c>
      <c r="L272" s="53"/>
      <c r="M272" s="53"/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53"/>
      <c r="AG272" s="53"/>
      <c r="AH272" s="53"/>
    </row>
    <row r="273" spans="1:34" x14ac:dyDescent="0.25">
      <c r="A273" s="53"/>
      <c r="B273" s="53"/>
      <c r="C273" s="53"/>
      <c r="D273" s="53"/>
      <c r="E273" s="53" t="s">
        <v>12</v>
      </c>
      <c r="F273" s="53" t="e">
        <f>VLOOKUP(E273,'Price indx'!#REF!,3,FALSE)</f>
        <v>#REF!</v>
      </c>
      <c r="G273" s="53"/>
      <c r="H273" s="52" t="e">
        <f t="shared" si="15"/>
        <v>#REF!</v>
      </c>
      <c r="I273" s="54" t="e">
        <f t="shared" si="16"/>
        <v>#REF!</v>
      </c>
      <c r="J273" s="48">
        <v>0</v>
      </c>
      <c r="K273" s="52">
        <f t="shared" si="14"/>
        <v>0</v>
      </c>
      <c r="L273" s="53"/>
      <c r="M273" s="53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53"/>
      <c r="AG273" s="53"/>
      <c r="AH273" s="53"/>
    </row>
    <row r="274" spans="1:34" x14ac:dyDescent="0.25">
      <c r="A274" s="53"/>
      <c r="B274" s="53"/>
      <c r="C274" s="53"/>
      <c r="D274" s="53"/>
      <c r="E274" s="53" t="s">
        <v>12</v>
      </c>
      <c r="F274" s="53" t="e">
        <f>VLOOKUP(E274,'Price indx'!#REF!,3,FALSE)</f>
        <v>#REF!</v>
      </c>
      <c r="G274" s="53"/>
      <c r="H274" s="52" t="e">
        <f t="shared" si="15"/>
        <v>#REF!</v>
      </c>
      <c r="I274" s="54" t="e">
        <f t="shared" si="16"/>
        <v>#REF!</v>
      </c>
      <c r="J274" s="48">
        <v>0</v>
      </c>
      <c r="K274" s="52">
        <f t="shared" si="14"/>
        <v>0</v>
      </c>
      <c r="L274" s="53"/>
      <c r="M274" s="53"/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53"/>
      <c r="AG274" s="53"/>
      <c r="AH274" s="53"/>
    </row>
    <row r="275" spans="1:34" x14ac:dyDescent="0.25">
      <c r="A275" s="53"/>
      <c r="B275" s="53"/>
      <c r="C275" s="53"/>
      <c r="D275" s="53"/>
      <c r="E275" s="53" t="s">
        <v>12</v>
      </c>
      <c r="F275" s="53" t="e">
        <f>VLOOKUP(E275,'Price indx'!#REF!,3,FALSE)</f>
        <v>#REF!</v>
      </c>
      <c r="G275" s="53"/>
      <c r="H275" s="52" t="e">
        <f t="shared" si="15"/>
        <v>#REF!</v>
      </c>
      <c r="I275" s="54" t="e">
        <f t="shared" si="16"/>
        <v>#REF!</v>
      </c>
      <c r="J275" s="48">
        <v>0</v>
      </c>
      <c r="K275" s="52">
        <f t="shared" si="14"/>
        <v>0</v>
      </c>
      <c r="L275" s="53"/>
      <c r="M275" s="53"/>
      <c r="N275" s="53"/>
      <c r="O275" s="53"/>
      <c r="P275" s="53"/>
      <c r="Q275" s="53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53"/>
      <c r="AG275" s="53"/>
      <c r="AH275" s="53"/>
    </row>
    <row r="276" spans="1:34" x14ac:dyDescent="0.25">
      <c r="A276" s="53"/>
      <c r="B276" s="53"/>
      <c r="C276" s="53"/>
      <c r="D276" s="53"/>
      <c r="E276" s="53" t="s">
        <v>12</v>
      </c>
      <c r="F276" s="53" t="e">
        <f>VLOOKUP(E276,'Price indx'!#REF!,3,FALSE)</f>
        <v>#REF!</v>
      </c>
      <c r="G276" s="53"/>
      <c r="H276" s="52" t="e">
        <f t="shared" si="15"/>
        <v>#REF!</v>
      </c>
      <c r="I276" s="54" t="e">
        <f t="shared" si="16"/>
        <v>#REF!</v>
      </c>
      <c r="J276" s="48">
        <v>0</v>
      </c>
      <c r="K276" s="52">
        <f t="shared" si="14"/>
        <v>0</v>
      </c>
      <c r="L276" s="53"/>
      <c r="M276" s="53"/>
      <c r="N276" s="53"/>
      <c r="O276" s="53"/>
      <c r="P276" s="53"/>
      <c r="Q276" s="53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53"/>
      <c r="AG276" s="53"/>
      <c r="AH276" s="53"/>
    </row>
    <row r="277" spans="1:34" x14ac:dyDescent="0.25">
      <c r="A277" s="53"/>
      <c r="B277" s="53"/>
      <c r="C277" s="53"/>
      <c r="D277" s="53"/>
      <c r="E277" s="53" t="s">
        <v>12</v>
      </c>
      <c r="F277" s="53" t="e">
        <f>VLOOKUP(E277,'Price indx'!#REF!,3,FALSE)</f>
        <v>#REF!</v>
      </c>
      <c r="G277" s="53"/>
      <c r="H277" s="52" t="e">
        <f t="shared" si="15"/>
        <v>#REF!</v>
      </c>
      <c r="I277" s="54" t="e">
        <f t="shared" si="16"/>
        <v>#REF!</v>
      </c>
      <c r="J277" s="48">
        <v>0</v>
      </c>
      <c r="K277" s="52">
        <f t="shared" si="14"/>
        <v>0</v>
      </c>
      <c r="L277" s="53"/>
      <c r="M277" s="53"/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53"/>
      <c r="AG277" s="53"/>
      <c r="AH277" s="53"/>
    </row>
    <row r="278" spans="1:34" x14ac:dyDescent="0.25">
      <c r="A278" s="53"/>
      <c r="B278" s="53"/>
      <c r="C278" s="53"/>
      <c r="D278" s="53"/>
      <c r="E278" s="53" t="s">
        <v>12</v>
      </c>
      <c r="F278" s="53" t="e">
        <f>VLOOKUP(E278,'Price indx'!#REF!,3,FALSE)</f>
        <v>#REF!</v>
      </c>
      <c r="G278" s="53"/>
      <c r="H278" s="52" t="e">
        <f t="shared" si="15"/>
        <v>#REF!</v>
      </c>
      <c r="I278" s="54" t="e">
        <f t="shared" si="16"/>
        <v>#REF!</v>
      </c>
      <c r="J278" s="48">
        <v>0</v>
      </c>
      <c r="K278" s="52">
        <f t="shared" si="14"/>
        <v>0</v>
      </c>
      <c r="L278" s="53"/>
      <c r="M278" s="53"/>
      <c r="N278" s="53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53"/>
      <c r="AG278" s="53"/>
      <c r="AH278" s="53"/>
    </row>
    <row r="279" spans="1:34" x14ac:dyDescent="0.25">
      <c r="A279" s="53"/>
      <c r="B279" s="53"/>
      <c r="C279" s="53"/>
      <c r="D279" s="53"/>
      <c r="E279" s="53" t="s">
        <v>12</v>
      </c>
      <c r="F279" s="53" t="e">
        <f>VLOOKUP(E279,'Price indx'!#REF!,3,FALSE)</f>
        <v>#REF!</v>
      </c>
      <c r="G279" s="53"/>
      <c r="H279" s="52" t="e">
        <f t="shared" si="15"/>
        <v>#REF!</v>
      </c>
      <c r="I279" s="54" t="e">
        <f t="shared" si="16"/>
        <v>#REF!</v>
      </c>
      <c r="J279" s="48">
        <v>0</v>
      </c>
      <c r="K279" s="52">
        <f t="shared" si="14"/>
        <v>0</v>
      </c>
      <c r="L279" s="53"/>
      <c r="M279" s="53"/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53"/>
      <c r="AG279" s="53"/>
      <c r="AH279" s="53"/>
    </row>
    <row r="280" spans="1:34" x14ac:dyDescent="0.25">
      <c r="A280" s="53"/>
      <c r="B280" s="53"/>
      <c r="C280" s="53"/>
      <c r="D280" s="53"/>
      <c r="E280" s="53" t="s">
        <v>12</v>
      </c>
      <c r="F280" s="53" t="e">
        <f>VLOOKUP(E280,'Price indx'!#REF!,3,FALSE)</f>
        <v>#REF!</v>
      </c>
      <c r="G280" s="53"/>
      <c r="H280" s="52" t="e">
        <f t="shared" si="15"/>
        <v>#REF!</v>
      </c>
      <c r="I280" s="54" t="e">
        <f t="shared" si="16"/>
        <v>#REF!</v>
      </c>
      <c r="J280" s="48">
        <v>0</v>
      </c>
      <c r="K280" s="52">
        <f t="shared" si="14"/>
        <v>0</v>
      </c>
      <c r="L280" s="53"/>
      <c r="M280" s="53"/>
      <c r="N280" s="53"/>
      <c r="O280" s="53"/>
      <c r="P280" s="53"/>
      <c r="Q280" s="53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53"/>
      <c r="AG280" s="53"/>
      <c r="AH280" s="53"/>
    </row>
    <row r="281" spans="1:34" x14ac:dyDescent="0.25">
      <c r="A281" s="53"/>
      <c r="B281" s="53"/>
      <c r="C281" s="53"/>
      <c r="D281" s="53"/>
      <c r="E281" s="53" t="s">
        <v>12</v>
      </c>
      <c r="F281" s="53" t="e">
        <f>VLOOKUP(E281,'Price indx'!#REF!,3,FALSE)</f>
        <v>#REF!</v>
      </c>
      <c r="G281" s="53"/>
      <c r="H281" s="52" t="e">
        <f t="shared" si="15"/>
        <v>#REF!</v>
      </c>
      <c r="I281" s="54" t="e">
        <f t="shared" si="16"/>
        <v>#REF!</v>
      </c>
      <c r="J281" s="48">
        <v>0</v>
      </c>
      <c r="K281" s="52">
        <f t="shared" si="14"/>
        <v>0</v>
      </c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</row>
    <row r="282" spans="1:34" x14ac:dyDescent="0.25">
      <c r="A282" s="53"/>
      <c r="B282" s="53"/>
      <c r="C282" s="53"/>
      <c r="D282" s="53"/>
      <c r="E282" s="53" t="s">
        <v>12</v>
      </c>
      <c r="F282" s="53" t="e">
        <f>VLOOKUP(E282,'Price indx'!#REF!,3,FALSE)</f>
        <v>#REF!</v>
      </c>
      <c r="G282" s="53"/>
      <c r="H282" s="52" t="e">
        <f t="shared" si="15"/>
        <v>#REF!</v>
      </c>
      <c r="I282" s="54" t="e">
        <f t="shared" si="16"/>
        <v>#REF!</v>
      </c>
      <c r="J282" s="48">
        <v>0</v>
      </c>
      <c r="K282" s="52">
        <f t="shared" si="14"/>
        <v>0</v>
      </c>
      <c r="L282" s="53"/>
      <c r="M282" s="53"/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53"/>
      <c r="AG282" s="53"/>
      <c r="AH282" s="53"/>
    </row>
    <row r="283" spans="1:34" x14ac:dyDescent="0.25">
      <c r="A283" s="53"/>
      <c r="B283" s="53"/>
      <c r="C283" s="53"/>
      <c r="D283" s="53"/>
      <c r="E283" s="53" t="s">
        <v>12</v>
      </c>
      <c r="F283" s="53" t="e">
        <f>VLOOKUP(E283,'Price indx'!#REF!,3,FALSE)</f>
        <v>#REF!</v>
      </c>
      <c r="G283" s="53"/>
      <c r="H283" s="52" t="e">
        <f t="shared" si="15"/>
        <v>#REF!</v>
      </c>
      <c r="I283" s="54" t="e">
        <f t="shared" si="16"/>
        <v>#REF!</v>
      </c>
      <c r="J283" s="48">
        <v>0</v>
      </c>
      <c r="K283" s="52">
        <f t="shared" si="14"/>
        <v>0</v>
      </c>
      <c r="L283" s="53"/>
      <c r="M283" s="53"/>
      <c r="N283" s="53"/>
      <c r="O283" s="53"/>
      <c r="P283" s="53"/>
      <c r="Q283" s="53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53"/>
      <c r="AG283" s="53"/>
      <c r="AH283" s="53"/>
    </row>
    <row r="284" spans="1:34" x14ac:dyDescent="0.25">
      <c r="A284" s="53"/>
      <c r="B284" s="53"/>
      <c r="C284" s="53"/>
      <c r="D284" s="53"/>
      <c r="E284" s="53" t="s">
        <v>12</v>
      </c>
      <c r="F284" s="53" t="e">
        <f>VLOOKUP(E284,'Price indx'!#REF!,3,FALSE)</f>
        <v>#REF!</v>
      </c>
      <c r="G284" s="53"/>
      <c r="H284" s="52" t="e">
        <f t="shared" si="15"/>
        <v>#REF!</v>
      </c>
      <c r="I284" s="54" t="e">
        <f t="shared" si="16"/>
        <v>#REF!</v>
      </c>
      <c r="J284" s="48">
        <v>0</v>
      </c>
      <c r="K284" s="52">
        <f t="shared" si="14"/>
        <v>0</v>
      </c>
      <c r="L284" s="53"/>
      <c r="M284" s="53"/>
      <c r="N284" s="53"/>
      <c r="O284" s="53"/>
      <c r="P284" s="53"/>
      <c r="Q284" s="53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53"/>
      <c r="AG284" s="53"/>
      <c r="AH284" s="53"/>
    </row>
    <row r="285" spans="1:34" x14ac:dyDescent="0.25">
      <c r="A285" s="53"/>
      <c r="B285" s="53"/>
      <c r="C285" s="53"/>
      <c r="D285" s="53"/>
      <c r="E285" s="53" t="s">
        <v>12</v>
      </c>
      <c r="F285" s="53" t="e">
        <f>VLOOKUP(E285,'Price indx'!#REF!,3,FALSE)</f>
        <v>#REF!</v>
      </c>
      <c r="G285" s="53"/>
      <c r="H285" s="52" t="e">
        <f t="shared" si="15"/>
        <v>#REF!</v>
      </c>
      <c r="I285" s="54" t="e">
        <f t="shared" si="16"/>
        <v>#REF!</v>
      </c>
      <c r="J285" s="48">
        <v>0</v>
      </c>
      <c r="K285" s="52">
        <f t="shared" si="14"/>
        <v>0</v>
      </c>
      <c r="L285" s="53"/>
      <c r="M285" s="53"/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53"/>
      <c r="AG285" s="53"/>
      <c r="AH285" s="53"/>
    </row>
    <row r="286" spans="1:34" x14ac:dyDescent="0.25">
      <c r="A286" s="53"/>
      <c r="B286" s="53"/>
      <c r="C286" s="53"/>
      <c r="D286" s="53"/>
      <c r="E286" s="53" t="s">
        <v>12</v>
      </c>
      <c r="F286" s="53" t="e">
        <f>VLOOKUP(E286,'Price indx'!#REF!,3,FALSE)</f>
        <v>#REF!</v>
      </c>
      <c r="G286" s="53"/>
      <c r="H286" s="52" t="e">
        <f t="shared" si="15"/>
        <v>#REF!</v>
      </c>
      <c r="I286" s="54" t="e">
        <f t="shared" si="16"/>
        <v>#REF!</v>
      </c>
      <c r="J286" s="48">
        <v>0</v>
      </c>
      <c r="K286" s="52">
        <f t="shared" si="14"/>
        <v>0</v>
      </c>
      <c r="L286" s="53"/>
      <c r="M286" s="53"/>
      <c r="N286" s="53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53"/>
      <c r="AG286" s="53"/>
      <c r="AH286" s="53"/>
    </row>
    <row r="287" spans="1:34" x14ac:dyDescent="0.25">
      <c r="A287" s="53"/>
      <c r="B287" s="53"/>
      <c r="C287" s="53"/>
      <c r="D287" s="53"/>
      <c r="E287" s="53" t="s">
        <v>12</v>
      </c>
      <c r="F287" s="53" t="e">
        <f>VLOOKUP(E287,'Price indx'!#REF!,3,FALSE)</f>
        <v>#REF!</v>
      </c>
      <c r="G287" s="53"/>
      <c r="H287" s="52" t="e">
        <f t="shared" si="15"/>
        <v>#REF!</v>
      </c>
      <c r="I287" s="54" t="e">
        <f t="shared" si="16"/>
        <v>#REF!</v>
      </c>
      <c r="J287" s="48">
        <v>0</v>
      </c>
      <c r="K287" s="52">
        <f t="shared" si="14"/>
        <v>0</v>
      </c>
      <c r="L287" s="53"/>
      <c r="M287" s="53"/>
      <c r="N287" s="53"/>
      <c r="O287" s="53"/>
      <c r="P287" s="53"/>
      <c r="Q287" s="53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53"/>
      <c r="AG287" s="53"/>
      <c r="AH287" s="53"/>
    </row>
    <row r="288" spans="1:34" x14ac:dyDescent="0.25">
      <c r="A288" s="53"/>
      <c r="B288" s="53"/>
      <c r="C288" s="53"/>
      <c r="D288" s="53"/>
      <c r="E288" s="53" t="s">
        <v>12</v>
      </c>
      <c r="F288" s="53" t="e">
        <f>VLOOKUP(E288,'Price indx'!#REF!,3,FALSE)</f>
        <v>#REF!</v>
      </c>
      <c r="G288" s="53"/>
      <c r="H288" s="52" t="e">
        <f t="shared" si="15"/>
        <v>#REF!</v>
      </c>
      <c r="I288" s="54" t="e">
        <f t="shared" si="16"/>
        <v>#REF!</v>
      </c>
      <c r="J288" s="48">
        <v>0</v>
      </c>
      <c r="K288" s="52">
        <f t="shared" si="14"/>
        <v>0</v>
      </c>
      <c r="L288" s="53"/>
      <c r="M288" s="53"/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53"/>
      <c r="AG288" s="53"/>
      <c r="AH288" s="53"/>
    </row>
    <row r="289" spans="1:34" x14ac:dyDescent="0.25">
      <c r="A289" s="53"/>
      <c r="B289" s="53"/>
      <c r="C289" s="53"/>
      <c r="D289" s="53"/>
      <c r="E289" s="53" t="s">
        <v>12</v>
      </c>
      <c r="F289" s="53" t="e">
        <f>VLOOKUP(E289,'Price indx'!#REF!,3,FALSE)</f>
        <v>#REF!</v>
      </c>
      <c r="G289" s="53"/>
      <c r="H289" s="52" t="e">
        <f t="shared" si="15"/>
        <v>#REF!</v>
      </c>
      <c r="I289" s="54" t="e">
        <f t="shared" si="16"/>
        <v>#REF!</v>
      </c>
      <c r="J289" s="48">
        <v>0</v>
      </c>
      <c r="K289" s="52">
        <f t="shared" si="14"/>
        <v>0</v>
      </c>
      <c r="L289" s="53"/>
      <c r="M289" s="53"/>
      <c r="N289" s="53"/>
      <c r="O289" s="53"/>
      <c r="P289" s="53"/>
      <c r="Q289" s="53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53"/>
      <c r="AG289" s="53"/>
      <c r="AH289" s="53"/>
    </row>
    <row r="290" spans="1:34" x14ac:dyDescent="0.25">
      <c r="A290" s="53"/>
      <c r="B290" s="53"/>
      <c r="C290" s="53"/>
      <c r="D290" s="53"/>
      <c r="E290" s="53" t="s">
        <v>12</v>
      </c>
      <c r="F290" s="53" t="e">
        <f>VLOOKUP(E290,'Price indx'!#REF!,3,FALSE)</f>
        <v>#REF!</v>
      </c>
      <c r="G290" s="53"/>
      <c r="H290" s="52" t="e">
        <f t="shared" si="15"/>
        <v>#REF!</v>
      </c>
      <c r="I290" s="54" t="e">
        <f t="shared" si="16"/>
        <v>#REF!</v>
      </c>
      <c r="J290" s="48">
        <v>0</v>
      </c>
      <c r="K290" s="52">
        <f t="shared" si="14"/>
        <v>0</v>
      </c>
      <c r="L290" s="53"/>
      <c r="M290" s="53"/>
      <c r="N290" s="53"/>
      <c r="O290" s="53"/>
      <c r="P290" s="53"/>
      <c r="Q290" s="53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53"/>
      <c r="AG290" s="53"/>
      <c r="AH290" s="53"/>
    </row>
    <row r="291" spans="1:34" x14ac:dyDescent="0.25">
      <c r="A291" s="53"/>
      <c r="B291" s="53"/>
      <c r="C291" s="53"/>
      <c r="D291" s="53"/>
      <c r="E291" s="53" t="s">
        <v>12</v>
      </c>
      <c r="F291" s="53" t="e">
        <f>VLOOKUP(E291,'Price indx'!#REF!,3,FALSE)</f>
        <v>#REF!</v>
      </c>
      <c r="G291" s="53"/>
      <c r="H291" s="52" t="e">
        <f t="shared" si="15"/>
        <v>#REF!</v>
      </c>
      <c r="I291" s="54" t="e">
        <f t="shared" si="16"/>
        <v>#REF!</v>
      </c>
      <c r="J291" s="48">
        <v>0</v>
      </c>
      <c r="K291" s="52">
        <f t="shared" si="14"/>
        <v>0</v>
      </c>
      <c r="L291" s="53"/>
      <c r="M291" s="53"/>
      <c r="N291" s="53"/>
      <c r="O291" s="53"/>
      <c r="P291" s="53"/>
      <c r="Q291" s="53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53"/>
      <c r="AG291" s="53"/>
      <c r="AH291" s="53"/>
    </row>
    <row r="292" spans="1:34" x14ac:dyDescent="0.25">
      <c r="A292" s="53"/>
      <c r="B292" s="53"/>
      <c r="C292" s="53"/>
      <c r="D292" s="53"/>
      <c r="E292" s="53" t="s">
        <v>12</v>
      </c>
      <c r="F292" s="53" t="e">
        <f>VLOOKUP(E292,'Price indx'!#REF!,3,FALSE)</f>
        <v>#REF!</v>
      </c>
      <c r="G292" s="53"/>
      <c r="H292" s="52" t="e">
        <f t="shared" si="15"/>
        <v>#REF!</v>
      </c>
      <c r="I292" s="54" t="e">
        <f t="shared" si="16"/>
        <v>#REF!</v>
      </c>
      <c r="J292" s="48">
        <v>0</v>
      </c>
      <c r="K292" s="52">
        <f t="shared" si="14"/>
        <v>0</v>
      </c>
      <c r="L292" s="53"/>
      <c r="M292" s="53"/>
      <c r="N292" s="53"/>
      <c r="O292" s="53"/>
      <c r="P292" s="53"/>
      <c r="Q292" s="53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53"/>
      <c r="AG292" s="53"/>
      <c r="AH292" s="53"/>
    </row>
    <row r="293" spans="1:34" x14ac:dyDescent="0.25">
      <c r="A293" s="53"/>
      <c r="B293" s="53"/>
      <c r="C293" s="53"/>
      <c r="D293" s="53"/>
      <c r="E293" s="53" t="s">
        <v>12</v>
      </c>
      <c r="F293" s="53" t="e">
        <f>VLOOKUP(E293,'Price indx'!#REF!,3,FALSE)</f>
        <v>#REF!</v>
      </c>
      <c r="G293" s="53"/>
      <c r="H293" s="52" t="e">
        <f t="shared" si="15"/>
        <v>#REF!</v>
      </c>
      <c r="I293" s="54" t="e">
        <f t="shared" si="16"/>
        <v>#REF!</v>
      </c>
      <c r="J293" s="48">
        <v>0</v>
      </c>
      <c r="K293" s="52">
        <f t="shared" si="14"/>
        <v>0</v>
      </c>
      <c r="L293" s="53"/>
      <c r="M293" s="53"/>
      <c r="N293" s="53"/>
      <c r="O293" s="53"/>
      <c r="P293" s="53"/>
      <c r="Q293" s="53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53"/>
      <c r="AG293" s="53"/>
      <c r="AH293" s="53"/>
    </row>
    <row r="294" spans="1:34" x14ac:dyDescent="0.25">
      <c r="A294" s="53"/>
      <c r="B294" s="53"/>
      <c r="C294" s="53"/>
      <c r="D294" s="53"/>
      <c r="E294" s="53" t="s">
        <v>12</v>
      </c>
      <c r="F294" s="53" t="e">
        <f>VLOOKUP(E294,'Price indx'!#REF!,3,FALSE)</f>
        <v>#REF!</v>
      </c>
      <c r="G294" s="53"/>
      <c r="H294" s="52" t="e">
        <f t="shared" si="15"/>
        <v>#REF!</v>
      </c>
      <c r="I294" s="54" t="e">
        <f t="shared" si="16"/>
        <v>#REF!</v>
      </c>
      <c r="J294" s="48">
        <v>0</v>
      </c>
      <c r="K294" s="52">
        <f t="shared" si="14"/>
        <v>0</v>
      </c>
      <c r="L294" s="53"/>
      <c r="M294" s="53"/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53"/>
      <c r="AG294" s="53"/>
      <c r="AH294" s="53"/>
    </row>
    <row r="295" spans="1:34" x14ac:dyDescent="0.25">
      <c r="A295" s="53"/>
      <c r="B295" s="53"/>
      <c r="C295" s="53"/>
      <c r="D295" s="53"/>
      <c r="E295" s="53" t="s">
        <v>12</v>
      </c>
      <c r="F295" s="53" t="e">
        <f>VLOOKUP(E295,'Price indx'!#REF!,3,FALSE)</f>
        <v>#REF!</v>
      </c>
      <c r="G295" s="53"/>
      <c r="H295" s="52" t="e">
        <f t="shared" si="15"/>
        <v>#REF!</v>
      </c>
      <c r="I295" s="54" t="e">
        <f t="shared" si="16"/>
        <v>#REF!</v>
      </c>
      <c r="J295" s="48">
        <v>0</v>
      </c>
      <c r="K295" s="52">
        <f t="shared" si="14"/>
        <v>0</v>
      </c>
      <c r="L295" s="53"/>
      <c r="M295" s="53"/>
      <c r="N295" s="53"/>
      <c r="O295" s="53"/>
      <c r="P295" s="53"/>
      <c r="Q295" s="53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53"/>
      <c r="AG295" s="53"/>
      <c r="AH295" s="53"/>
    </row>
    <row r="296" spans="1:34" x14ac:dyDescent="0.25">
      <c r="A296" s="53"/>
      <c r="B296" s="53"/>
      <c r="C296" s="53"/>
      <c r="D296" s="53"/>
      <c r="E296" s="53" t="s">
        <v>12</v>
      </c>
      <c r="F296" s="53" t="e">
        <f>VLOOKUP(E296,'Price indx'!#REF!,3,FALSE)</f>
        <v>#REF!</v>
      </c>
      <c r="G296" s="53"/>
      <c r="H296" s="52" t="e">
        <f t="shared" si="15"/>
        <v>#REF!</v>
      </c>
      <c r="I296" s="54" t="e">
        <f t="shared" si="16"/>
        <v>#REF!</v>
      </c>
      <c r="J296" s="48">
        <v>0</v>
      </c>
      <c r="K296" s="52">
        <f t="shared" si="14"/>
        <v>0</v>
      </c>
      <c r="L296" s="53"/>
      <c r="M296" s="53"/>
      <c r="N296" s="53"/>
      <c r="O296" s="53"/>
      <c r="P296" s="53"/>
      <c r="Q296" s="53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53"/>
      <c r="AG296" s="53"/>
      <c r="AH296" s="53"/>
    </row>
    <row r="297" spans="1:34" x14ac:dyDescent="0.25">
      <c r="A297" s="53"/>
      <c r="B297" s="53"/>
      <c r="C297" s="53"/>
      <c r="D297" s="53"/>
      <c r="E297" s="53" t="s">
        <v>12</v>
      </c>
      <c r="F297" s="53" t="e">
        <f>VLOOKUP(E297,'Price indx'!#REF!,3,FALSE)</f>
        <v>#REF!</v>
      </c>
      <c r="G297" s="53"/>
      <c r="H297" s="52" t="e">
        <f t="shared" si="15"/>
        <v>#REF!</v>
      </c>
      <c r="I297" s="54" t="e">
        <f t="shared" si="16"/>
        <v>#REF!</v>
      </c>
      <c r="J297" s="48">
        <v>0</v>
      </c>
      <c r="K297" s="52">
        <f t="shared" si="14"/>
        <v>0</v>
      </c>
      <c r="L297" s="53"/>
      <c r="M297" s="53"/>
      <c r="N297" s="53"/>
      <c r="O297" s="53"/>
      <c r="P297" s="53"/>
      <c r="Q297" s="53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53"/>
      <c r="AG297" s="53"/>
      <c r="AH297" s="53"/>
    </row>
    <row r="298" spans="1:34" x14ac:dyDescent="0.25">
      <c r="A298" s="53"/>
      <c r="B298" s="53"/>
      <c r="C298" s="53"/>
      <c r="D298" s="53"/>
      <c r="E298" s="53" t="s">
        <v>12</v>
      </c>
      <c r="F298" s="53" t="e">
        <f>VLOOKUP(E298,'Price indx'!#REF!,3,FALSE)</f>
        <v>#REF!</v>
      </c>
      <c r="G298" s="53"/>
      <c r="H298" s="52" t="e">
        <f t="shared" si="15"/>
        <v>#REF!</v>
      </c>
      <c r="I298" s="54" t="e">
        <f t="shared" si="16"/>
        <v>#REF!</v>
      </c>
      <c r="J298" s="48">
        <v>0</v>
      </c>
      <c r="K298" s="52">
        <f t="shared" si="14"/>
        <v>0</v>
      </c>
      <c r="L298" s="53"/>
      <c r="M298" s="53"/>
      <c r="N298" s="53"/>
      <c r="O298" s="53"/>
      <c r="P298" s="53"/>
      <c r="Q298" s="53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53"/>
      <c r="AG298" s="53"/>
      <c r="AH298" s="53"/>
    </row>
    <row r="299" spans="1:34" x14ac:dyDescent="0.25">
      <c r="A299" s="53"/>
      <c r="B299" s="53"/>
      <c r="C299" s="53"/>
      <c r="D299" s="53"/>
      <c r="E299" s="53" t="s">
        <v>12</v>
      </c>
      <c r="F299" s="53" t="e">
        <f>VLOOKUP(E299,'Price indx'!#REF!,3,FALSE)</f>
        <v>#REF!</v>
      </c>
      <c r="G299" s="53"/>
      <c r="H299" s="52" t="e">
        <f t="shared" si="15"/>
        <v>#REF!</v>
      </c>
      <c r="I299" s="54" t="e">
        <f t="shared" si="16"/>
        <v>#REF!</v>
      </c>
      <c r="J299" s="48">
        <v>0</v>
      </c>
      <c r="K299" s="52">
        <f t="shared" si="14"/>
        <v>0</v>
      </c>
      <c r="L299" s="53"/>
      <c r="M299" s="53"/>
      <c r="N299" s="53"/>
      <c r="O299" s="53"/>
      <c r="P299" s="53"/>
      <c r="Q299" s="53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53"/>
      <c r="AG299" s="53"/>
      <c r="AH299" s="53"/>
    </row>
    <row r="300" spans="1:34" x14ac:dyDescent="0.25">
      <c r="A300" s="53"/>
      <c r="B300" s="53"/>
      <c r="C300" s="53"/>
      <c r="D300" s="53"/>
      <c r="E300" s="53" t="s">
        <v>12</v>
      </c>
      <c r="F300" s="53" t="e">
        <f>VLOOKUP(E300,'Price indx'!#REF!,3,FALSE)</f>
        <v>#REF!</v>
      </c>
      <c r="G300" s="53"/>
      <c r="H300" s="52" t="e">
        <f t="shared" si="15"/>
        <v>#REF!</v>
      </c>
      <c r="I300" s="54" t="e">
        <f t="shared" si="16"/>
        <v>#REF!</v>
      </c>
      <c r="J300" s="48">
        <v>0</v>
      </c>
      <c r="K300" s="52">
        <f t="shared" si="14"/>
        <v>0</v>
      </c>
      <c r="L300" s="53"/>
      <c r="M300" s="53"/>
      <c r="N300" s="53"/>
      <c r="O300" s="53"/>
      <c r="P300" s="53"/>
      <c r="Q300" s="53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53"/>
      <c r="AG300" s="53"/>
      <c r="AH300" s="53"/>
    </row>
    <row r="301" spans="1:34" x14ac:dyDescent="0.25">
      <c r="A301" s="53"/>
      <c r="B301" s="53"/>
      <c r="C301" s="53"/>
      <c r="D301" s="53"/>
      <c r="E301" s="53" t="s">
        <v>12</v>
      </c>
      <c r="F301" s="53" t="e">
        <f>VLOOKUP(E301,'Price indx'!#REF!,3,FALSE)</f>
        <v>#REF!</v>
      </c>
      <c r="G301" s="53"/>
      <c r="H301" s="52" t="e">
        <f t="shared" si="15"/>
        <v>#REF!</v>
      </c>
      <c r="I301" s="54" t="e">
        <f t="shared" si="16"/>
        <v>#REF!</v>
      </c>
      <c r="J301" s="48">
        <v>0</v>
      </c>
      <c r="K301" s="52">
        <f t="shared" si="14"/>
        <v>0</v>
      </c>
      <c r="L301" s="53"/>
      <c r="M301" s="53"/>
      <c r="N301" s="53"/>
      <c r="O301" s="53"/>
      <c r="P301" s="53"/>
      <c r="Q301" s="53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53"/>
      <c r="AG301" s="53"/>
      <c r="AH301" s="53"/>
    </row>
    <row r="302" spans="1:34" x14ac:dyDescent="0.25">
      <c r="A302" s="53"/>
      <c r="B302" s="53"/>
      <c r="C302" s="53"/>
      <c r="D302" s="53"/>
      <c r="E302" s="53" t="s">
        <v>12</v>
      </c>
      <c r="F302" s="53" t="e">
        <f>VLOOKUP(E302,'Price indx'!#REF!,3,FALSE)</f>
        <v>#REF!</v>
      </c>
      <c r="G302" s="53"/>
      <c r="H302" s="52" t="e">
        <f t="shared" si="15"/>
        <v>#REF!</v>
      </c>
      <c r="I302" s="54" t="e">
        <f t="shared" si="16"/>
        <v>#REF!</v>
      </c>
      <c r="J302" s="48">
        <v>0</v>
      </c>
      <c r="K302" s="52">
        <f t="shared" si="14"/>
        <v>0</v>
      </c>
      <c r="L302" s="53"/>
      <c r="M302" s="53"/>
      <c r="N302" s="53"/>
      <c r="O302" s="53"/>
      <c r="P302" s="53"/>
      <c r="Q302" s="53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53"/>
      <c r="AG302" s="53"/>
      <c r="AH302" s="53"/>
    </row>
    <row r="303" spans="1:34" x14ac:dyDescent="0.25">
      <c r="A303" s="53"/>
      <c r="B303" s="53"/>
      <c r="C303" s="53"/>
      <c r="D303" s="53"/>
      <c r="E303" s="53" t="s">
        <v>12</v>
      </c>
      <c r="F303" s="53" t="e">
        <f>VLOOKUP(E303,'Price indx'!#REF!,3,FALSE)</f>
        <v>#REF!</v>
      </c>
      <c r="G303" s="53"/>
      <c r="H303" s="52" t="e">
        <f t="shared" si="15"/>
        <v>#REF!</v>
      </c>
      <c r="I303" s="54" t="e">
        <f t="shared" si="16"/>
        <v>#REF!</v>
      </c>
      <c r="J303" s="48">
        <v>0</v>
      </c>
      <c r="K303" s="52">
        <f t="shared" si="14"/>
        <v>0</v>
      </c>
      <c r="L303" s="53"/>
      <c r="M303" s="53"/>
      <c r="N303" s="53"/>
      <c r="O303" s="53"/>
      <c r="P303" s="53"/>
      <c r="Q303" s="53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53"/>
      <c r="AG303" s="53"/>
      <c r="AH303" s="53"/>
    </row>
    <row r="304" spans="1:34" x14ac:dyDescent="0.25">
      <c r="A304" s="53"/>
      <c r="B304" s="53"/>
      <c r="C304" s="53"/>
      <c r="D304" s="53"/>
      <c r="E304" s="53" t="s">
        <v>12</v>
      </c>
      <c r="F304" s="53" t="e">
        <f>VLOOKUP(E304,'Price indx'!#REF!,3,FALSE)</f>
        <v>#REF!</v>
      </c>
      <c r="G304" s="53"/>
      <c r="H304" s="52" t="e">
        <f t="shared" si="15"/>
        <v>#REF!</v>
      </c>
      <c r="I304" s="54" t="e">
        <f t="shared" si="16"/>
        <v>#REF!</v>
      </c>
      <c r="J304" s="48">
        <v>0</v>
      </c>
      <c r="K304" s="52">
        <f t="shared" si="14"/>
        <v>0</v>
      </c>
      <c r="L304" s="53"/>
      <c r="M304" s="53"/>
      <c r="N304" s="53"/>
      <c r="O304" s="53"/>
      <c r="P304" s="53"/>
      <c r="Q304" s="53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53"/>
      <c r="AG304" s="53"/>
      <c r="AH304" s="53"/>
    </row>
    <row r="305" spans="1:34" x14ac:dyDescent="0.25">
      <c r="A305" s="53"/>
      <c r="B305" s="53"/>
      <c r="C305" s="53"/>
      <c r="D305" s="53"/>
      <c r="E305" s="53" t="s">
        <v>12</v>
      </c>
      <c r="F305" s="53" t="e">
        <f>VLOOKUP(E305,'Price indx'!#REF!,3,FALSE)</f>
        <v>#REF!</v>
      </c>
      <c r="G305" s="53"/>
      <c r="H305" s="52" t="e">
        <f t="shared" si="15"/>
        <v>#REF!</v>
      </c>
      <c r="I305" s="54" t="e">
        <f t="shared" si="16"/>
        <v>#REF!</v>
      </c>
      <c r="J305" s="48">
        <v>0</v>
      </c>
      <c r="K305" s="52">
        <f t="shared" si="14"/>
        <v>0</v>
      </c>
      <c r="L305" s="53"/>
      <c r="M305" s="53"/>
      <c r="N305" s="53"/>
      <c r="O305" s="53"/>
      <c r="P305" s="53"/>
      <c r="Q305" s="53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53"/>
      <c r="AG305" s="53"/>
      <c r="AH305" s="53"/>
    </row>
    <row r="306" spans="1:34" x14ac:dyDescent="0.25">
      <c r="A306" s="53"/>
      <c r="B306" s="53"/>
      <c r="C306" s="53"/>
      <c r="D306" s="53"/>
      <c r="E306" s="53" t="s">
        <v>12</v>
      </c>
      <c r="F306" s="53" t="e">
        <f>VLOOKUP(E306,'Price indx'!#REF!,3,FALSE)</f>
        <v>#REF!</v>
      </c>
      <c r="G306" s="53"/>
      <c r="H306" s="52" t="e">
        <f t="shared" si="15"/>
        <v>#REF!</v>
      </c>
      <c r="I306" s="54" t="e">
        <f t="shared" si="16"/>
        <v>#REF!</v>
      </c>
      <c r="J306" s="48">
        <v>0</v>
      </c>
      <c r="K306" s="52">
        <f t="shared" si="14"/>
        <v>0</v>
      </c>
      <c r="L306" s="53"/>
      <c r="M306" s="53"/>
      <c r="N306" s="53"/>
      <c r="O306" s="53"/>
      <c r="P306" s="53"/>
      <c r="Q306" s="53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53"/>
      <c r="AG306" s="53"/>
      <c r="AH306" s="53"/>
    </row>
    <row r="307" spans="1:34" x14ac:dyDescent="0.25">
      <c r="A307" s="53"/>
      <c r="B307" s="53"/>
      <c r="C307" s="53"/>
      <c r="D307" s="53"/>
      <c r="E307" s="53" t="s">
        <v>12</v>
      </c>
      <c r="F307" s="53" t="e">
        <f>VLOOKUP(E307,'Price indx'!#REF!,3,FALSE)</f>
        <v>#REF!</v>
      </c>
      <c r="G307" s="53"/>
      <c r="H307" s="52" t="e">
        <f t="shared" si="15"/>
        <v>#REF!</v>
      </c>
      <c r="I307" s="54" t="e">
        <f t="shared" si="16"/>
        <v>#REF!</v>
      </c>
      <c r="J307" s="48">
        <v>0</v>
      </c>
      <c r="K307" s="52">
        <f t="shared" si="14"/>
        <v>0</v>
      </c>
      <c r="L307" s="53"/>
      <c r="M307" s="53"/>
      <c r="N307" s="53"/>
      <c r="O307" s="53"/>
      <c r="P307" s="53"/>
      <c r="Q307" s="53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53"/>
      <c r="AG307" s="53"/>
      <c r="AH307" s="53"/>
    </row>
    <row r="308" spans="1:34" x14ac:dyDescent="0.25">
      <c r="A308" s="53"/>
      <c r="B308" s="53"/>
      <c r="C308" s="53"/>
      <c r="D308" s="53"/>
      <c r="E308" s="53" t="s">
        <v>12</v>
      </c>
      <c r="F308" s="53" t="e">
        <f>VLOOKUP(E308,'Price indx'!#REF!,3,FALSE)</f>
        <v>#REF!</v>
      </c>
      <c r="G308" s="53"/>
      <c r="H308" s="52" t="e">
        <f t="shared" si="15"/>
        <v>#REF!</v>
      </c>
      <c r="I308" s="54" t="e">
        <f t="shared" si="16"/>
        <v>#REF!</v>
      </c>
      <c r="J308" s="48">
        <v>0</v>
      </c>
      <c r="K308" s="52">
        <f t="shared" si="14"/>
        <v>0</v>
      </c>
      <c r="L308" s="53"/>
      <c r="M308" s="53"/>
      <c r="N308" s="53"/>
      <c r="O308" s="53"/>
      <c r="P308" s="53"/>
      <c r="Q308" s="53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53"/>
      <c r="AG308" s="53"/>
      <c r="AH308" s="53"/>
    </row>
    <row r="309" spans="1:34" x14ac:dyDescent="0.25">
      <c r="A309" s="53"/>
      <c r="B309" s="53"/>
      <c r="C309" s="53"/>
      <c r="D309" s="53"/>
      <c r="E309" s="53" t="s">
        <v>12</v>
      </c>
      <c r="F309" s="53" t="e">
        <f>VLOOKUP(E309,'Price indx'!#REF!,3,FALSE)</f>
        <v>#REF!</v>
      </c>
      <c r="G309" s="53"/>
      <c r="H309" s="52" t="e">
        <f t="shared" si="15"/>
        <v>#REF!</v>
      </c>
      <c r="I309" s="54" t="e">
        <f t="shared" si="16"/>
        <v>#REF!</v>
      </c>
      <c r="J309" s="48">
        <v>0</v>
      </c>
      <c r="K309" s="52">
        <f t="shared" si="14"/>
        <v>0</v>
      </c>
      <c r="L309" s="53"/>
      <c r="M309" s="53"/>
      <c r="N309" s="53"/>
      <c r="O309" s="53"/>
      <c r="P309" s="53"/>
      <c r="Q309" s="53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53"/>
      <c r="AG309" s="53"/>
      <c r="AH309" s="53"/>
    </row>
    <row r="310" spans="1:34" x14ac:dyDescent="0.25">
      <c r="A310" s="53"/>
      <c r="B310" s="53"/>
      <c r="C310" s="53"/>
      <c r="D310" s="53"/>
      <c r="E310" s="53" t="s">
        <v>12</v>
      </c>
      <c r="F310" s="53" t="e">
        <f>VLOOKUP(E310,'Price indx'!#REF!,3,FALSE)</f>
        <v>#REF!</v>
      </c>
      <c r="G310" s="53"/>
      <c r="H310" s="52" t="e">
        <f t="shared" si="15"/>
        <v>#REF!</v>
      </c>
      <c r="I310" s="54" t="e">
        <f t="shared" si="16"/>
        <v>#REF!</v>
      </c>
      <c r="J310" s="48">
        <v>0</v>
      </c>
      <c r="K310" s="52">
        <f t="shared" si="14"/>
        <v>0</v>
      </c>
      <c r="L310" s="53"/>
      <c r="M310" s="53"/>
      <c r="N310" s="53"/>
      <c r="O310" s="53"/>
      <c r="P310" s="53"/>
      <c r="Q310" s="53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53"/>
      <c r="AG310" s="53"/>
      <c r="AH310" s="53"/>
    </row>
    <row r="311" spans="1:34" x14ac:dyDescent="0.25">
      <c r="A311" s="53"/>
      <c r="B311" s="53"/>
      <c r="C311" s="53"/>
      <c r="D311" s="53"/>
      <c r="E311" s="53" t="s">
        <v>12</v>
      </c>
      <c r="F311" s="53" t="e">
        <f>VLOOKUP(E311,'Price indx'!#REF!,3,FALSE)</f>
        <v>#REF!</v>
      </c>
      <c r="G311" s="53"/>
      <c r="H311" s="52" t="e">
        <f t="shared" si="15"/>
        <v>#REF!</v>
      </c>
      <c r="I311" s="54" t="e">
        <f t="shared" si="16"/>
        <v>#REF!</v>
      </c>
      <c r="J311" s="48">
        <v>0</v>
      </c>
      <c r="K311" s="52">
        <f t="shared" si="14"/>
        <v>0</v>
      </c>
      <c r="L311" s="53"/>
      <c r="M311" s="53"/>
      <c r="N311" s="53"/>
      <c r="O311" s="53"/>
      <c r="P311" s="53"/>
      <c r="Q311" s="53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53"/>
      <c r="AG311" s="53"/>
      <c r="AH311" s="53"/>
    </row>
    <row r="312" spans="1:34" x14ac:dyDescent="0.25">
      <c r="A312" s="53"/>
      <c r="B312" s="53"/>
      <c r="C312" s="53"/>
      <c r="D312" s="53"/>
      <c r="E312" s="53" t="s">
        <v>12</v>
      </c>
      <c r="F312" s="53" t="e">
        <f>VLOOKUP(E312,'Price indx'!#REF!,3,FALSE)</f>
        <v>#REF!</v>
      </c>
      <c r="G312" s="53"/>
      <c r="H312" s="52" t="e">
        <f t="shared" si="15"/>
        <v>#REF!</v>
      </c>
      <c r="I312" s="54" t="e">
        <f t="shared" si="16"/>
        <v>#REF!</v>
      </c>
      <c r="J312" s="48">
        <v>0</v>
      </c>
      <c r="K312" s="52">
        <f t="shared" si="14"/>
        <v>0</v>
      </c>
      <c r="L312" s="53"/>
      <c r="M312" s="53"/>
      <c r="N312" s="53"/>
      <c r="O312" s="53"/>
      <c r="P312" s="53"/>
      <c r="Q312" s="53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53"/>
      <c r="AG312" s="53"/>
      <c r="AH312" s="53"/>
    </row>
    <row r="313" spans="1:34" x14ac:dyDescent="0.25">
      <c r="A313" s="53"/>
      <c r="B313" s="53"/>
      <c r="C313" s="53"/>
      <c r="D313" s="53"/>
      <c r="E313" s="53" t="s">
        <v>12</v>
      </c>
      <c r="F313" s="53" t="e">
        <f>VLOOKUP(E313,'Price indx'!#REF!,3,FALSE)</f>
        <v>#REF!</v>
      </c>
      <c r="G313" s="53"/>
      <c r="H313" s="52" t="e">
        <f t="shared" si="15"/>
        <v>#REF!</v>
      </c>
      <c r="I313" s="54" t="e">
        <f t="shared" si="16"/>
        <v>#REF!</v>
      </c>
      <c r="J313" s="48">
        <v>0</v>
      </c>
      <c r="K313" s="52">
        <f t="shared" si="14"/>
        <v>0</v>
      </c>
      <c r="L313" s="53"/>
      <c r="M313" s="53"/>
      <c r="N313" s="53"/>
      <c r="O313" s="53"/>
      <c r="P313" s="53"/>
      <c r="Q313" s="53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53"/>
      <c r="AG313" s="53"/>
      <c r="AH313" s="53"/>
    </row>
    <row r="314" spans="1:34" x14ac:dyDescent="0.25">
      <c r="A314" s="53"/>
      <c r="B314" s="53"/>
      <c r="C314" s="53"/>
      <c r="D314" s="53"/>
      <c r="E314" s="53" t="s">
        <v>12</v>
      </c>
      <c r="F314" s="53" t="e">
        <f>VLOOKUP(E314,'Price indx'!#REF!,3,FALSE)</f>
        <v>#REF!</v>
      </c>
      <c r="G314" s="53"/>
      <c r="H314" s="52" t="e">
        <f t="shared" si="15"/>
        <v>#REF!</v>
      </c>
      <c r="I314" s="54" t="e">
        <f t="shared" si="16"/>
        <v>#REF!</v>
      </c>
      <c r="J314" s="48">
        <v>0</v>
      </c>
      <c r="K314" s="52">
        <f t="shared" si="14"/>
        <v>0</v>
      </c>
      <c r="L314" s="53"/>
      <c r="M314" s="53"/>
      <c r="N314" s="53"/>
      <c r="O314" s="53"/>
      <c r="P314" s="53"/>
      <c r="Q314" s="53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53"/>
      <c r="AG314" s="53"/>
      <c r="AH314" s="53"/>
    </row>
    <row r="315" spans="1:34" x14ac:dyDescent="0.25">
      <c r="A315" s="53"/>
      <c r="B315" s="53"/>
      <c r="C315" s="53"/>
      <c r="D315" s="53"/>
      <c r="E315" s="53" t="s">
        <v>12</v>
      </c>
      <c r="F315" s="53" t="e">
        <f>VLOOKUP(E315,'Price indx'!#REF!,3,FALSE)</f>
        <v>#REF!</v>
      </c>
      <c r="G315" s="53"/>
      <c r="H315" s="52" t="e">
        <f t="shared" si="15"/>
        <v>#REF!</v>
      </c>
      <c r="I315" s="54" t="e">
        <f t="shared" si="16"/>
        <v>#REF!</v>
      </c>
      <c r="J315" s="48">
        <v>0</v>
      </c>
      <c r="K315" s="52">
        <f t="shared" si="14"/>
        <v>0</v>
      </c>
      <c r="L315" s="53"/>
      <c r="M315" s="53"/>
      <c r="N315" s="53"/>
      <c r="O315" s="53"/>
      <c r="P315" s="53"/>
      <c r="Q315" s="53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53"/>
      <c r="AG315" s="53"/>
      <c r="AH315" s="53"/>
    </row>
    <row r="316" spans="1:34" x14ac:dyDescent="0.25">
      <c r="A316" s="53"/>
      <c r="B316" s="53"/>
      <c r="C316" s="53"/>
      <c r="D316" s="53"/>
      <c r="E316" s="53" t="s">
        <v>12</v>
      </c>
      <c r="F316" s="53" t="e">
        <f>VLOOKUP(E316,'Price indx'!#REF!,3,FALSE)</f>
        <v>#REF!</v>
      </c>
      <c r="G316" s="53"/>
      <c r="H316" s="52" t="e">
        <f t="shared" si="15"/>
        <v>#REF!</v>
      </c>
      <c r="I316" s="54" t="e">
        <f t="shared" si="16"/>
        <v>#REF!</v>
      </c>
      <c r="J316" s="48">
        <v>0</v>
      </c>
      <c r="K316" s="52">
        <f t="shared" si="14"/>
        <v>0</v>
      </c>
      <c r="L316" s="53"/>
      <c r="M316" s="53"/>
      <c r="N316" s="53"/>
      <c r="O316" s="53"/>
      <c r="P316" s="53"/>
      <c r="Q316" s="53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53"/>
      <c r="AG316" s="53"/>
      <c r="AH316" s="53"/>
    </row>
    <row r="317" spans="1:34" x14ac:dyDescent="0.25">
      <c r="A317" s="53"/>
      <c r="B317" s="53"/>
      <c r="C317" s="53"/>
      <c r="D317" s="53"/>
      <c r="E317" s="53" t="s">
        <v>12</v>
      </c>
      <c r="F317" s="53" t="e">
        <f>VLOOKUP(E317,'Price indx'!#REF!,3,FALSE)</f>
        <v>#REF!</v>
      </c>
      <c r="G317" s="53"/>
      <c r="H317" s="52" t="e">
        <f t="shared" si="15"/>
        <v>#REF!</v>
      </c>
      <c r="I317" s="54" t="e">
        <f t="shared" si="16"/>
        <v>#REF!</v>
      </c>
      <c r="J317" s="48">
        <v>0</v>
      </c>
      <c r="K317" s="52">
        <f t="shared" si="14"/>
        <v>0</v>
      </c>
      <c r="L317" s="53"/>
      <c r="M317" s="53"/>
      <c r="N317" s="53"/>
      <c r="O317" s="53"/>
      <c r="P317" s="53"/>
      <c r="Q317" s="53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53"/>
      <c r="AG317" s="53"/>
      <c r="AH317" s="53"/>
    </row>
    <row r="318" spans="1:34" x14ac:dyDescent="0.25">
      <c r="A318" s="53"/>
      <c r="B318" s="53"/>
      <c r="C318" s="53"/>
      <c r="D318" s="53"/>
      <c r="E318" s="53" t="s">
        <v>12</v>
      </c>
      <c r="F318" s="53" t="e">
        <f>VLOOKUP(E318,'Price indx'!#REF!,3,FALSE)</f>
        <v>#REF!</v>
      </c>
      <c r="G318" s="53"/>
      <c r="H318" s="52" t="e">
        <f t="shared" si="15"/>
        <v>#REF!</v>
      </c>
      <c r="I318" s="54" t="e">
        <f t="shared" si="16"/>
        <v>#REF!</v>
      </c>
      <c r="J318" s="48">
        <v>0</v>
      </c>
      <c r="K318" s="52">
        <f t="shared" si="14"/>
        <v>0</v>
      </c>
      <c r="L318" s="53"/>
      <c r="M318" s="53"/>
      <c r="N318" s="53"/>
      <c r="O318" s="53"/>
      <c r="P318" s="53"/>
      <c r="Q318" s="53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53"/>
      <c r="AG318" s="53"/>
      <c r="AH318" s="53"/>
    </row>
    <row r="319" spans="1:34" x14ac:dyDescent="0.25">
      <c r="A319" s="53"/>
      <c r="B319" s="53"/>
      <c r="C319" s="53"/>
      <c r="D319" s="53"/>
      <c r="E319" s="53" t="s">
        <v>12</v>
      </c>
      <c r="F319" s="53" t="e">
        <f>VLOOKUP(E319,'Price indx'!#REF!,3,FALSE)</f>
        <v>#REF!</v>
      </c>
      <c r="G319" s="53"/>
      <c r="H319" s="52" t="e">
        <f t="shared" si="15"/>
        <v>#REF!</v>
      </c>
      <c r="I319" s="54" t="e">
        <f t="shared" si="16"/>
        <v>#REF!</v>
      </c>
      <c r="J319" s="48">
        <v>0</v>
      </c>
      <c r="K319" s="52">
        <f t="shared" si="14"/>
        <v>0</v>
      </c>
      <c r="L319" s="53"/>
      <c r="M319" s="53"/>
      <c r="N319" s="53"/>
      <c r="O319" s="53"/>
      <c r="P319" s="53"/>
      <c r="Q319" s="53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53"/>
      <c r="AG319" s="53"/>
      <c r="AH319" s="53"/>
    </row>
    <row r="320" spans="1:34" x14ac:dyDescent="0.25">
      <c r="A320" s="53"/>
      <c r="B320" s="53"/>
      <c r="C320" s="53"/>
      <c r="D320" s="53"/>
      <c r="E320" s="53" t="s">
        <v>12</v>
      </c>
      <c r="F320" s="53" t="e">
        <f>VLOOKUP(E320,'Price indx'!#REF!,3,FALSE)</f>
        <v>#REF!</v>
      </c>
      <c r="G320" s="53"/>
      <c r="H320" s="52" t="e">
        <f t="shared" si="15"/>
        <v>#REF!</v>
      </c>
      <c r="I320" s="54" t="e">
        <f t="shared" si="16"/>
        <v>#REF!</v>
      </c>
      <c r="J320" s="48">
        <v>0</v>
      </c>
      <c r="K320" s="52">
        <f t="shared" si="14"/>
        <v>0</v>
      </c>
      <c r="L320" s="53"/>
      <c r="M320" s="53"/>
      <c r="N320" s="53"/>
      <c r="O320" s="53"/>
      <c r="P320" s="53"/>
      <c r="Q320" s="53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53"/>
      <c r="AG320" s="53"/>
      <c r="AH320" s="53"/>
    </row>
    <row r="321" spans="1:34" x14ac:dyDescent="0.25">
      <c r="A321" s="53"/>
      <c r="B321" s="53"/>
      <c r="C321" s="53"/>
      <c r="D321" s="53"/>
      <c r="E321" s="53" t="s">
        <v>12</v>
      </c>
      <c r="F321" s="53" t="e">
        <f>VLOOKUP(E321,'Price indx'!#REF!,3,FALSE)</f>
        <v>#REF!</v>
      </c>
      <c r="G321" s="53"/>
      <c r="H321" s="52" t="e">
        <f t="shared" si="15"/>
        <v>#REF!</v>
      </c>
      <c r="I321" s="54" t="e">
        <f t="shared" si="16"/>
        <v>#REF!</v>
      </c>
      <c r="J321" s="48">
        <v>0</v>
      </c>
      <c r="K321" s="52">
        <f t="shared" si="14"/>
        <v>0</v>
      </c>
      <c r="L321" s="53"/>
      <c r="M321" s="53"/>
      <c r="N321" s="53"/>
      <c r="O321" s="53"/>
      <c r="P321" s="53"/>
      <c r="Q321" s="53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53"/>
      <c r="AG321" s="53"/>
      <c r="AH321" s="53"/>
    </row>
    <row r="322" spans="1:34" x14ac:dyDescent="0.25">
      <c r="A322" s="53"/>
      <c r="B322" s="53"/>
      <c r="C322" s="53"/>
      <c r="D322" s="53"/>
      <c r="E322" s="53" t="s">
        <v>12</v>
      </c>
      <c r="F322" s="53" t="e">
        <f>VLOOKUP(E322,'Price indx'!#REF!,3,FALSE)</f>
        <v>#REF!</v>
      </c>
      <c r="G322" s="53"/>
      <c r="H322" s="52" t="e">
        <f t="shared" si="15"/>
        <v>#REF!</v>
      </c>
      <c r="I322" s="54" t="e">
        <f t="shared" si="16"/>
        <v>#REF!</v>
      </c>
      <c r="J322" s="48">
        <v>0</v>
      </c>
      <c r="K322" s="52">
        <f t="shared" si="14"/>
        <v>0</v>
      </c>
      <c r="L322" s="53"/>
      <c r="M322" s="53"/>
      <c r="N322" s="53"/>
      <c r="O322" s="53"/>
      <c r="P322" s="53"/>
      <c r="Q322" s="53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53"/>
      <c r="AG322" s="53"/>
      <c r="AH322" s="53"/>
    </row>
    <row r="323" spans="1:34" x14ac:dyDescent="0.25">
      <c r="A323" s="53"/>
      <c r="B323" s="53"/>
      <c r="C323" s="53"/>
      <c r="D323" s="53"/>
      <c r="E323" s="53" t="s">
        <v>12</v>
      </c>
      <c r="F323" s="53" t="e">
        <f>VLOOKUP(E323,'Price indx'!#REF!,3,FALSE)</f>
        <v>#REF!</v>
      </c>
      <c r="G323" s="53"/>
      <c r="H323" s="52" t="e">
        <f t="shared" si="15"/>
        <v>#REF!</v>
      </c>
      <c r="I323" s="54" t="e">
        <f t="shared" si="16"/>
        <v>#REF!</v>
      </c>
      <c r="J323" s="48">
        <v>0</v>
      </c>
      <c r="K323" s="52">
        <f t="shared" si="14"/>
        <v>0</v>
      </c>
      <c r="L323" s="53"/>
      <c r="M323" s="53"/>
      <c r="N323" s="53"/>
      <c r="O323" s="53"/>
      <c r="P323" s="53"/>
      <c r="Q323" s="53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53"/>
      <c r="AG323" s="53"/>
      <c r="AH323" s="53"/>
    </row>
    <row r="324" spans="1:34" x14ac:dyDescent="0.25">
      <c r="A324" s="53"/>
      <c r="B324" s="53"/>
      <c r="C324" s="53"/>
      <c r="D324" s="53"/>
      <c r="E324" s="53" t="s">
        <v>12</v>
      </c>
      <c r="F324" s="53" t="e">
        <f>VLOOKUP(E324,'Price indx'!#REF!,3,FALSE)</f>
        <v>#REF!</v>
      </c>
      <c r="G324" s="53"/>
      <c r="H324" s="52" t="e">
        <f t="shared" si="15"/>
        <v>#REF!</v>
      </c>
      <c r="I324" s="54" t="e">
        <f t="shared" si="16"/>
        <v>#REF!</v>
      </c>
      <c r="J324" s="48">
        <v>0</v>
      </c>
      <c r="K324" s="52">
        <f t="shared" ref="K324:K387" si="17">IF(A324=0,(C324),(0))</f>
        <v>0</v>
      </c>
      <c r="L324" s="53"/>
      <c r="M324" s="53"/>
      <c r="N324" s="53"/>
      <c r="O324" s="53"/>
      <c r="P324" s="53"/>
      <c r="Q324" s="53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53"/>
      <c r="AG324" s="53"/>
      <c r="AH324" s="53"/>
    </row>
    <row r="325" spans="1:34" x14ac:dyDescent="0.25">
      <c r="A325" s="53"/>
      <c r="B325" s="53"/>
      <c r="C325" s="53"/>
      <c r="D325" s="53"/>
      <c r="E325" s="53" t="s">
        <v>12</v>
      </c>
      <c r="F325" s="53" t="e">
        <f>VLOOKUP(E325,'Price indx'!#REF!,3,FALSE)</f>
        <v>#REF!</v>
      </c>
      <c r="G325" s="53"/>
      <c r="H325" s="52" t="e">
        <f t="shared" ref="H325:H388" si="18">G325*F325</f>
        <v>#REF!</v>
      </c>
      <c r="I325" s="54" t="e">
        <f t="shared" ref="I325:I388" si="19">H325/C325-1</f>
        <v>#REF!</v>
      </c>
      <c r="J325" s="48">
        <v>0</v>
      </c>
      <c r="K325" s="52">
        <f t="shared" si="17"/>
        <v>0</v>
      </c>
      <c r="L325" s="53"/>
      <c r="M325" s="53"/>
      <c r="N325" s="53"/>
      <c r="O325" s="53"/>
      <c r="P325" s="53"/>
      <c r="Q325" s="53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53"/>
      <c r="AG325" s="53"/>
      <c r="AH325" s="53"/>
    </row>
    <row r="326" spans="1:34" x14ac:dyDescent="0.25">
      <c r="A326" s="53"/>
      <c r="B326" s="53"/>
      <c r="C326" s="53"/>
      <c r="D326" s="53"/>
      <c r="E326" s="53" t="s">
        <v>12</v>
      </c>
      <c r="F326" s="53" t="e">
        <f>VLOOKUP(E326,'Price indx'!#REF!,3,FALSE)</f>
        <v>#REF!</v>
      </c>
      <c r="G326" s="53"/>
      <c r="H326" s="52" t="e">
        <f t="shared" si="18"/>
        <v>#REF!</v>
      </c>
      <c r="I326" s="54" t="e">
        <f t="shared" si="19"/>
        <v>#REF!</v>
      </c>
      <c r="J326" s="48">
        <v>0</v>
      </c>
      <c r="K326" s="52">
        <f t="shared" si="17"/>
        <v>0</v>
      </c>
      <c r="L326" s="53"/>
      <c r="M326" s="53"/>
      <c r="N326" s="53"/>
      <c r="O326" s="53"/>
      <c r="P326" s="53"/>
      <c r="Q326" s="53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53"/>
      <c r="AG326" s="53"/>
      <c r="AH326" s="53"/>
    </row>
    <row r="327" spans="1:34" x14ac:dyDescent="0.25">
      <c r="A327" s="53"/>
      <c r="B327" s="53"/>
      <c r="C327" s="53"/>
      <c r="D327" s="53"/>
      <c r="E327" s="53" t="s">
        <v>12</v>
      </c>
      <c r="F327" s="53" t="e">
        <f>VLOOKUP(E327,'Price indx'!#REF!,3,FALSE)</f>
        <v>#REF!</v>
      </c>
      <c r="G327" s="53"/>
      <c r="H327" s="52" t="e">
        <f t="shared" si="18"/>
        <v>#REF!</v>
      </c>
      <c r="I327" s="54" t="e">
        <f t="shared" si="19"/>
        <v>#REF!</v>
      </c>
      <c r="J327" s="48">
        <v>0</v>
      </c>
      <c r="K327" s="52">
        <f t="shared" si="17"/>
        <v>0</v>
      </c>
      <c r="L327" s="53"/>
      <c r="M327" s="53"/>
      <c r="N327" s="53"/>
      <c r="O327" s="53"/>
      <c r="P327" s="53"/>
      <c r="Q327" s="53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53"/>
      <c r="AG327" s="53"/>
      <c r="AH327" s="53"/>
    </row>
    <row r="328" spans="1:34" x14ac:dyDescent="0.25">
      <c r="A328" s="53"/>
      <c r="B328" s="53"/>
      <c r="C328" s="53"/>
      <c r="D328" s="53"/>
      <c r="E328" s="53" t="s">
        <v>12</v>
      </c>
      <c r="F328" s="53" t="e">
        <f>VLOOKUP(E328,'Price indx'!#REF!,3,FALSE)</f>
        <v>#REF!</v>
      </c>
      <c r="G328" s="53"/>
      <c r="H328" s="52" t="e">
        <f t="shared" si="18"/>
        <v>#REF!</v>
      </c>
      <c r="I328" s="54" t="e">
        <f t="shared" si="19"/>
        <v>#REF!</v>
      </c>
      <c r="J328" s="48">
        <v>0</v>
      </c>
      <c r="K328" s="52">
        <f t="shared" si="17"/>
        <v>0</v>
      </c>
      <c r="L328" s="53"/>
      <c r="M328" s="53"/>
      <c r="N328" s="53"/>
      <c r="O328" s="53"/>
      <c r="P328" s="53"/>
      <c r="Q328" s="53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53"/>
      <c r="AG328" s="53"/>
      <c r="AH328" s="53"/>
    </row>
    <row r="329" spans="1:34" x14ac:dyDescent="0.25">
      <c r="A329" s="53"/>
      <c r="B329" s="53"/>
      <c r="C329" s="53"/>
      <c r="D329" s="53"/>
      <c r="E329" s="53" t="s">
        <v>12</v>
      </c>
      <c r="F329" s="53" t="e">
        <f>VLOOKUP(E329,'Price indx'!#REF!,3,FALSE)</f>
        <v>#REF!</v>
      </c>
      <c r="G329" s="53"/>
      <c r="H329" s="52" t="e">
        <f t="shared" si="18"/>
        <v>#REF!</v>
      </c>
      <c r="I329" s="54" t="e">
        <f t="shared" si="19"/>
        <v>#REF!</v>
      </c>
      <c r="J329" s="48">
        <v>0</v>
      </c>
      <c r="K329" s="52">
        <f t="shared" si="17"/>
        <v>0</v>
      </c>
      <c r="L329" s="53"/>
      <c r="M329" s="53"/>
      <c r="N329" s="53"/>
      <c r="O329" s="53"/>
      <c r="P329" s="53"/>
      <c r="Q329" s="53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53"/>
      <c r="AG329" s="53"/>
      <c r="AH329" s="53"/>
    </row>
    <row r="330" spans="1:34" x14ac:dyDescent="0.25">
      <c r="A330" s="53"/>
      <c r="B330" s="53"/>
      <c r="C330" s="53"/>
      <c r="D330" s="53"/>
      <c r="E330" s="53" t="s">
        <v>12</v>
      </c>
      <c r="F330" s="53" t="e">
        <f>VLOOKUP(E330,'Price indx'!#REF!,3,FALSE)</f>
        <v>#REF!</v>
      </c>
      <c r="G330" s="53"/>
      <c r="H330" s="52" t="e">
        <f t="shared" si="18"/>
        <v>#REF!</v>
      </c>
      <c r="I330" s="54" t="e">
        <f t="shared" si="19"/>
        <v>#REF!</v>
      </c>
      <c r="J330" s="48">
        <v>0</v>
      </c>
      <c r="K330" s="52">
        <f t="shared" si="17"/>
        <v>0</v>
      </c>
      <c r="L330" s="53"/>
      <c r="M330" s="53"/>
      <c r="N330" s="53"/>
      <c r="O330" s="53"/>
      <c r="P330" s="53"/>
      <c r="Q330" s="53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53"/>
      <c r="AG330" s="53"/>
      <c r="AH330" s="53"/>
    </row>
    <row r="331" spans="1:34" x14ac:dyDescent="0.25">
      <c r="A331" s="53"/>
      <c r="B331" s="53"/>
      <c r="C331" s="53"/>
      <c r="D331" s="53"/>
      <c r="E331" s="53" t="s">
        <v>12</v>
      </c>
      <c r="F331" s="53" t="e">
        <f>VLOOKUP(E331,'Price indx'!#REF!,3,FALSE)</f>
        <v>#REF!</v>
      </c>
      <c r="G331" s="53"/>
      <c r="H331" s="52" t="e">
        <f t="shared" si="18"/>
        <v>#REF!</v>
      </c>
      <c r="I331" s="54" t="e">
        <f t="shared" si="19"/>
        <v>#REF!</v>
      </c>
      <c r="J331" s="48">
        <v>0</v>
      </c>
      <c r="K331" s="52">
        <f t="shared" si="17"/>
        <v>0</v>
      </c>
      <c r="L331" s="53"/>
      <c r="M331" s="53"/>
      <c r="N331" s="53"/>
      <c r="O331" s="53"/>
      <c r="P331" s="53"/>
      <c r="Q331" s="53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53"/>
      <c r="AG331" s="53"/>
      <c r="AH331" s="53"/>
    </row>
    <row r="332" spans="1:34" x14ac:dyDescent="0.25">
      <c r="A332" s="53"/>
      <c r="B332" s="53"/>
      <c r="C332" s="53"/>
      <c r="D332" s="53"/>
      <c r="E332" s="53" t="s">
        <v>12</v>
      </c>
      <c r="F332" s="53" t="e">
        <f>VLOOKUP(E332,'Price indx'!#REF!,3,FALSE)</f>
        <v>#REF!</v>
      </c>
      <c r="G332" s="53"/>
      <c r="H332" s="52" t="e">
        <f t="shared" si="18"/>
        <v>#REF!</v>
      </c>
      <c r="I332" s="54" t="e">
        <f t="shared" si="19"/>
        <v>#REF!</v>
      </c>
      <c r="J332" s="48">
        <v>0</v>
      </c>
      <c r="K332" s="52">
        <f t="shared" si="17"/>
        <v>0</v>
      </c>
      <c r="L332" s="53"/>
      <c r="M332" s="53"/>
      <c r="N332" s="53"/>
      <c r="O332" s="53"/>
      <c r="P332" s="53"/>
      <c r="Q332" s="53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53"/>
      <c r="AG332" s="53"/>
      <c r="AH332" s="53"/>
    </row>
    <row r="333" spans="1:34" x14ac:dyDescent="0.25">
      <c r="A333" s="53"/>
      <c r="B333" s="53"/>
      <c r="C333" s="53"/>
      <c r="D333" s="53"/>
      <c r="E333" s="53" t="s">
        <v>12</v>
      </c>
      <c r="F333" s="53" t="e">
        <f>VLOOKUP(E333,'Price indx'!#REF!,3,FALSE)</f>
        <v>#REF!</v>
      </c>
      <c r="G333" s="53"/>
      <c r="H333" s="52" t="e">
        <f t="shared" si="18"/>
        <v>#REF!</v>
      </c>
      <c r="I333" s="54" t="e">
        <f t="shared" si="19"/>
        <v>#REF!</v>
      </c>
      <c r="J333" s="48">
        <v>0</v>
      </c>
      <c r="K333" s="52">
        <f t="shared" si="17"/>
        <v>0</v>
      </c>
      <c r="L333" s="53"/>
      <c r="M333" s="53"/>
      <c r="N333" s="53"/>
      <c r="O333" s="53"/>
      <c r="P333" s="53"/>
      <c r="Q333" s="53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53"/>
      <c r="AG333" s="53"/>
      <c r="AH333" s="53"/>
    </row>
    <row r="334" spans="1:34" x14ac:dyDescent="0.25">
      <c r="A334" s="53"/>
      <c r="B334" s="53"/>
      <c r="C334" s="53"/>
      <c r="D334" s="53"/>
      <c r="E334" s="53" t="s">
        <v>12</v>
      </c>
      <c r="F334" s="53" t="e">
        <f>VLOOKUP(E334,'Price indx'!#REF!,3,FALSE)</f>
        <v>#REF!</v>
      </c>
      <c r="G334" s="53"/>
      <c r="H334" s="52" t="e">
        <f t="shared" si="18"/>
        <v>#REF!</v>
      </c>
      <c r="I334" s="54" t="e">
        <f t="shared" si="19"/>
        <v>#REF!</v>
      </c>
      <c r="J334" s="48">
        <v>0</v>
      </c>
      <c r="K334" s="52">
        <f t="shared" si="17"/>
        <v>0</v>
      </c>
      <c r="L334" s="53"/>
      <c r="M334" s="53"/>
      <c r="N334" s="53"/>
      <c r="O334" s="53"/>
      <c r="P334" s="53"/>
      <c r="Q334" s="53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53"/>
      <c r="AG334" s="53"/>
      <c r="AH334" s="53"/>
    </row>
    <row r="335" spans="1:34" x14ac:dyDescent="0.25">
      <c r="A335" s="53"/>
      <c r="B335" s="53"/>
      <c r="C335" s="53"/>
      <c r="D335" s="53"/>
      <c r="E335" s="53" t="s">
        <v>12</v>
      </c>
      <c r="F335" s="53" t="e">
        <f>VLOOKUP(E335,'Price indx'!#REF!,3,FALSE)</f>
        <v>#REF!</v>
      </c>
      <c r="G335" s="53"/>
      <c r="H335" s="52" t="e">
        <f t="shared" si="18"/>
        <v>#REF!</v>
      </c>
      <c r="I335" s="54" t="e">
        <f t="shared" si="19"/>
        <v>#REF!</v>
      </c>
      <c r="J335" s="48">
        <v>0</v>
      </c>
      <c r="K335" s="52">
        <f t="shared" si="17"/>
        <v>0</v>
      </c>
      <c r="L335" s="53"/>
      <c r="M335" s="53"/>
      <c r="N335" s="53"/>
      <c r="O335" s="53"/>
      <c r="P335" s="53"/>
      <c r="Q335" s="53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53"/>
      <c r="AG335" s="53"/>
      <c r="AH335" s="53"/>
    </row>
    <row r="336" spans="1:34" x14ac:dyDescent="0.25">
      <c r="A336" s="53"/>
      <c r="B336" s="53"/>
      <c r="C336" s="53"/>
      <c r="D336" s="53"/>
      <c r="E336" s="53" t="s">
        <v>12</v>
      </c>
      <c r="F336" s="53" t="e">
        <f>VLOOKUP(E336,'Price indx'!#REF!,3,FALSE)</f>
        <v>#REF!</v>
      </c>
      <c r="G336" s="53"/>
      <c r="H336" s="52" t="e">
        <f t="shared" si="18"/>
        <v>#REF!</v>
      </c>
      <c r="I336" s="54" t="e">
        <f t="shared" si="19"/>
        <v>#REF!</v>
      </c>
      <c r="J336" s="48">
        <v>0</v>
      </c>
      <c r="K336" s="52">
        <f t="shared" si="17"/>
        <v>0</v>
      </c>
      <c r="L336" s="53"/>
      <c r="M336" s="53"/>
      <c r="N336" s="53"/>
      <c r="O336" s="53"/>
      <c r="P336" s="53"/>
      <c r="Q336" s="53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53"/>
      <c r="AG336" s="53"/>
      <c r="AH336" s="53"/>
    </row>
    <row r="337" spans="1:34" x14ac:dyDescent="0.25">
      <c r="A337" s="53"/>
      <c r="B337" s="53"/>
      <c r="C337" s="53"/>
      <c r="D337" s="53"/>
      <c r="E337" s="53" t="s">
        <v>12</v>
      </c>
      <c r="F337" s="53" t="e">
        <f>VLOOKUP(E337,'Price indx'!#REF!,3,FALSE)</f>
        <v>#REF!</v>
      </c>
      <c r="G337" s="53"/>
      <c r="H337" s="52" t="e">
        <f t="shared" si="18"/>
        <v>#REF!</v>
      </c>
      <c r="I337" s="54" t="e">
        <f t="shared" si="19"/>
        <v>#REF!</v>
      </c>
      <c r="J337" s="48">
        <v>0</v>
      </c>
      <c r="K337" s="52">
        <f t="shared" si="17"/>
        <v>0</v>
      </c>
      <c r="L337" s="53"/>
      <c r="M337" s="53"/>
      <c r="N337" s="53"/>
      <c r="O337" s="53"/>
      <c r="P337" s="53"/>
      <c r="Q337" s="53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53"/>
      <c r="AG337" s="53"/>
      <c r="AH337" s="53"/>
    </row>
    <row r="338" spans="1:34" x14ac:dyDescent="0.25">
      <c r="A338" s="53"/>
      <c r="B338" s="53"/>
      <c r="C338" s="53"/>
      <c r="D338" s="53"/>
      <c r="E338" s="53" t="s">
        <v>12</v>
      </c>
      <c r="F338" s="53" t="e">
        <f>VLOOKUP(E338,'Price indx'!#REF!,3,FALSE)</f>
        <v>#REF!</v>
      </c>
      <c r="G338" s="53"/>
      <c r="H338" s="52" t="e">
        <f t="shared" si="18"/>
        <v>#REF!</v>
      </c>
      <c r="I338" s="54" t="e">
        <f t="shared" si="19"/>
        <v>#REF!</v>
      </c>
      <c r="J338" s="48">
        <v>0</v>
      </c>
      <c r="K338" s="52">
        <f t="shared" si="17"/>
        <v>0</v>
      </c>
      <c r="L338" s="53"/>
      <c r="M338" s="53"/>
      <c r="N338" s="53"/>
      <c r="O338" s="53"/>
      <c r="P338" s="53"/>
      <c r="Q338" s="53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53"/>
      <c r="AG338" s="53"/>
      <c r="AH338" s="53"/>
    </row>
    <row r="339" spans="1:34" x14ac:dyDescent="0.25">
      <c r="A339" s="53"/>
      <c r="B339" s="53"/>
      <c r="C339" s="53"/>
      <c r="D339" s="53"/>
      <c r="E339" s="53" t="s">
        <v>12</v>
      </c>
      <c r="F339" s="53" t="e">
        <f>VLOOKUP(E339,'Price indx'!#REF!,3,FALSE)</f>
        <v>#REF!</v>
      </c>
      <c r="G339" s="53"/>
      <c r="H339" s="52" t="e">
        <f t="shared" si="18"/>
        <v>#REF!</v>
      </c>
      <c r="I339" s="54" t="e">
        <f t="shared" si="19"/>
        <v>#REF!</v>
      </c>
      <c r="J339" s="48">
        <v>0</v>
      </c>
      <c r="K339" s="52">
        <f t="shared" si="17"/>
        <v>0</v>
      </c>
      <c r="L339" s="53"/>
      <c r="M339" s="53"/>
      <c r="N339" s="53"/>
      <c r="O339" s="53"/>
      <c r="P339" s="53"/>
      <c r="Q339" s="53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53"/>
      <c r="AG339" s="53"/>
      <c r="AH339" s="53"/>
    </row>
    <row r="340" spans="1:34" x14ac:dyDescent="0.25">
      <c r="A340" s="53"/>
      <c r="B340" s="53"/>
      <c r="C340" s="53"/>
      <c r="D340" s="53"/>
      <c r="E340" s="53" t="s">
        <v>12</v>
      </c>
      <c r="F340" s="53" t="e">
        <f>VLOOKUP(E340,'Price indx'!#REF!,3,FALSE)</f>
        <v>#REF!</v>
      </c>
      <c r="G340" s="53"/>
      <c r="H340" s="52" t="e">
        <f t="shared" si="18"/>
        <v>#REF!</v>
      </c>
      <c r="I340" s="54" t="e">
        <f t="shared" si="19"/>
        <v>#REF!</v>
      </c>
      <c r="J340" s="48">
        <v>0</v>
      </c>
      <c r="K340" s="52">
        <f t="shared" si="17"/>
        <v>0</v>
      </c>
      <c r="L340" s="53"/>
      <c r="M340" s="53"/>
      <c r="N340" s="53"/>
      <c r="O340" s="53"/>
      <c r="P340" s="53"/>
      <c r="Q340" s="53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53"/>
      <c r="AG340" s="53"/>
      <c r="AH340" s="53"/>
    </row>
    <row r="341" spans="1:34" x14ac:dyDescent="0.25">
      <c r="A341" s="53"/>
      <c r="B341" s="53"/>
      <c r="C341" s="53"/>
      <c r="D341" s="53"/>
      <c r="E341" s="53" t="s">
        <v>12</v>
      </c>
      <c r="F341" s="53" t="e">
        <f>VLOOKUP(E341,'Price indx'!#REF!,3,FALSE)</f>
        <v>#REF!</v>
      </c>
      <c r="G341" s="53"/>
      <c r="H341" s="52" t="e">
        <f t="shared" si="18"/>
        <v>#REF!</v>
      </c>
      <c r="I341" s="54" t="e">
        <f t="shared" si="19"/>
        <v>#REF!</v>
      </c>
      <c r="J341" s="48">
        <v>0</v>
      </c>
      <c r="K341" s="52">
        <f t="shared" si="17"/>
        <v>0</v>
      </c>
      <c r="L341" s="53"/>
      <c r="M341" s="53"/>
      <c r="N341" s="53"/>
      <c r="O341" s="53"/>
      <c r="P341" s="53"/>
      <c r="Q341" s="53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53"/>
      <c r="AG341" s="53"/>
      <c r="AH341" s="53"/>
    </row>
    <row r="342" spans="1:34" x14ac:dyDescent="0.25">
      <c r="A342" s="53"/>
      <c r="B342" s="53"/>
      <c r="C342" s="53"/>
      <c r="D342" s="53"/>
      <c r="E342" s="53" t="s">
        <v>12</v>
      </c>
      <c r="F342" s="53" t="e">
        <f>VLOOKUP(E342,'Price indx'!#REF!,3,FALSE)</f>
        <v>#REF!</v>
      </c>
      <c r="G342" s="53"/>
      <c r="H342" s="52" t="e">
        <f t="shared" si="18"/>
        <v>#REF!</v>
      </c>
      <c r="I342" s="54" t="e">
        <f t="shared" si="19"/>
        <v>#REF!</v>
      </c>
      <c r="J342" s="48">
        <v>0</v>
      </c>
      <c r="K342" s="52">
        <f t="shared" si="17"/>
        <v>0</v>
      </c>
      <c r="L342" s="53"/>
      <c r="M342" s="53"/>
      <c r="N342" s="53"/>
      <c r="O342" s="53"/>
      <c r="P342" s="53"/>
      <c r="Q342" s="53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53"/>
      <c r="AG342" s="53"/>
      <c r="AH342" s="53"/>
    </row>
    <row r="343" spans="1:34" x14ac:dyDescent="0.25">
      <c r="A343" s="53"/>
      <c r="B343" s="53"/>
      <c r="C343" s="53"/>
      <c r="D343" s="53"/>
      <c r="E343" s="53" t="s">
        <v>12</v>
      </c>
      <c r="F343" s="53" t="e">
        <f>VLOOKUP(E343,'Price indx'!#REF!,3,FALSE)</f>
        <v>#REF!</v>
      </c>
      <c r="G343" s="53"/>
      <c r="H343" s="52" t="e">
        <f t="shared" si="18"/>
        <v>#REF!</v>
      </c>
      <c r="I343" s="54" t="e">
        <f t="shared" si="19"/>
        <v>#REF!</v>
      </c>
      <c r="J343" s="48">
        <v>0</v>
      </c>
      <c r="K343" s="52">
        <f t="shared" si="17"/>
        <v>0</v>
      </c>
      <c r="L343" s="53"/>
      <c r="M343" s="53"/>
      <c r="N343" s="53"/>
      <c r="O343" s="53"/>
      <c r="P343" s="53"/>
      <c r="Q343" s="53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53"/>
      <c r="AG343" s="53"/>
      <c r="AH343" s="53"/>
    </row>
    <row r="344" spans="1:34" x14ac:dyDescent="0.25">
      <c r="A344" s="53"/>
      <c r="B344" s="53"/>
      <c r="C344" s="53"/>
      <c r="D344" s="53"/>
      <c r="E344" s="53" t="s">
        <v>12</v>
      </c>
      <c r="F344" s="53" t="e">
        <f>VLOOKUP(E344,'Price indx'!#REF!,3,FALSE)</f>
        <v>#REF!</v>
      </c>
      <c r="G344" s="53"/>
      <c r="H344" s="52" t="e">
        <f t="shared" si="18"/>
        <v>#REF!</v>
      </c>
      <c r="I344" s="54" t="e">
        <f t="shared" si="19"/>
        <v>#REF!</v>
      </c>
      <c r="J344" s="48">
        <v>0</v>
      </c>
      <c r="K344" s="52">
        <f t="shared" si="17"/>
        <v>0</v>
      </c>
      <c r="L344" s="53"/>
      <c r="M344" s="53"/>
      <c r="N344" s="53"/>
      <c r="O344" s="53"/>
      <c r="P344" s="53"/>
      <c r="Q344" s="53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53"/>
      <c r="AG344" s="53"/>
      <c r="AH344" s="53"/>
    </row>
    <row r="345" spans="1:34" x14ac:dyDescent="0.25">
      <c r="A345" s="53"/>
      <c r="B345" s="53"/>
      <c r="C345" s="53"/>
      <c r="D345" s="53"/>
      <c r="E345" s="53" t="s">
        <v>12</v>
      </c>
      <c r="F345" s="53" t="e">
        <f>VLOOKUP(E345,'Price indx'!#REF!,3,FALSE)</f>
        <v>#REF!</v>
      </c>
      <c r="G345" s="53"/>
      <c r="H345" s="52" t="e">
        <f t="shared" si="18"/>
        <v>#REF!</v>
      </c>
      <c r="I345" s="54" t="e">
        <f t="shared" si="19"/>
        <v>#REF!</v>
      </c>
      <c r="J345" s="48">
        <v>0</v>
      </c>
      <c r="K345" s="52">
        <f t="shared" si="17"/>
        <v>0</v>
      </c>
      <c r="L345" s="53"/>
      <c r="M345" s="53"/>
      <c r="N345" s="53"/>
      <c r="O345" s="53"/>
      <c r="P345" s="53"/>
      <c r="Q345" s="53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53"/>
      <c r="AG345" s="53"/>
      <c r="AH345" s="53"/>
    </row>
    <row r="346" spans="1:34" x14ac:dyDescent="0.25">
      <c r="A346" s="53"/>
      <c r="B346" s="53"/>
      <c r="C346" s="53"/>
      <c r="D346" s="53"/>
      <c r="E346" s="53" t="s">
        <v>12</v>
      </c>
      <c r="F346" s="53" t="e">
        <f>VLOOKUP(E346,'Price indx'!#REF!,3,FALSE)</f>
        <v>#REF!</v>
      </c>
      <c r="G346" s="53"/>
      <c r="H346" s="52" t="e">
        <f t="shared" si="18"/>
        <v>#REF!</v>
      </c>
      <c r="I346" s="54" t="e">
        <f t="shared" si="19"/>
        <v>#REF!</v>
      </c>
      <c r="J346" s="48">
        <v>0</v>
      </c>
      <c r="K346" s="52">
        <f t="shared" si="17"/>
        <v>0</v>
      </c>
      <c r="L346" s="53"/>
      <c r="M346" s="53"/>
      <c r="N346" s="53"/>
      <c r="O346" s="53"/>
      <c r="P346" s="53"/>
      <c r="Q346" s="53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53"/>
      <c r="AG346" s="53"/>
      <c r="AH346" s="53"/>
    </row>
    <row r="347" spans="1:34" x14ac:dyDescent="0.25">
      <c r="A347" s="53"/>
      <c r="B347" s="53"/>
      <c r="C347" s="53"/>
      <c r="D347" s="53"/>
      <c r="E347" s="53" t="s">
        <v>12</v>
      </c>
      <c r="F347" s="53" t="e">
        <f>VLOOKUP(E347,'Price indx'!#REF!,3,FALSE)</f>
        <v>#REF!</v>
      </c>
      <c r="G347" s="53"/>
      <c r="H347" s="52" t="e">
        <f t="shared" si="18"/>
        <v>#REF!</v>
      </c>
      <c r="I347" s="54" t="e">
        <f t="shared" si="19"/>
        <v>#REF!</v>
      </c>
      <c r="J347" s="48">
        <v>0</v>
      </c>
      <c r="K347" s="52">
        <f t="shared" si="17"/>
        <v>0</v>
      </c>
      <c r="L347" s="53"/>
      <c r="M347" s="53"/>
      <c r="N347" s="53"/>
      <c r="O347" s="53"/>
      <c r="P347" s="53"/>
      <c r="Q347" s="53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53"/>
      <c r="AG347" s="53"/>
      <c r="AH347" s="53"/>
    </row>
    <row r="348" spans="1:34" x14ac:dyDescent="0.25">
      <c r="A348" s="53"/>
      <c r="B348" s="53"/>
      <c r="C348" s="53"/>
      <c r="D348" s="53"/>
      <c r="E348" s="53" t="s">
        <v>12</v>
      </c>
      <c r="F348" s="53" t="e">
        <f>VLOOKUP(E348,'Price indx'!#REF!,3,FALSE)</f>
        <v>#REF!</v>
      </c>
      <c r="G348" s="53"/>
      <c r="H348" s="52" t="e">
        <f t="shared" si="18"/>
        <v>#REF!</v>
      </c>
      <c r="I348" s="54" t="e">
        <f t="shared" si="19"/>
        <v>#REF!</v>
      </c>
      <c r="J348" s="48">
        <v>0</v>
      </c>
      <c r="K348" s="52">
        <f t="shared" si="17"/>
        <v>0</v>
      </c>
      <c r="L348" s="53"/>
      <c r="M348" s="53"/>
      <c r="N348" s="53"/>
      <c r="O348" s="53"/>
      <c r="P348" s="53"/>
      <c r="Q348" s="53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53"/>
      <c r="AG348" s="53"/>
      <c r="AH348" s="53"/>
    </row>
    <row r="349" spans="1:34" x14ac:dyDescent="0.25">
      <c r="A349" s="53"/>
      <c r="B349" s="53"/>
      <c r="C349" s="53"/>
      <c r="D349" s="53"/>
      <c r="E349" s="53" t="s">
        <v>12</v>
      </c>
      <c r="F349" s="53" t="e">
        <f>VLOOKUP(E349,'Price indx'!#REF!,3,FALSE)</f>
        <v>#REF!</v>
      </c>
      <c r="G349" s="53"/>
      <c r="H349" s="52" t="e">
        <f t="shared" si="18"/>
        <v>#REF!</v>
      </c>
      <c r="I349" s="54" t="e">
        <f t="shared" si="19"/>
        <v>#REF!</v>
      </c>
      <c r="J349" s="48">
        <v>0</v>
      </c>
      <c r="K349" s="52">
        <f t="shared" si="17"/>
        <v>0</v>
      </c>
      <c r="L349" s="53"/>
      <c r="M349" s="53"/>
      <c r="N349" s="53"/>
      <c r="O349" s="53"/>
      <c r="P349" s="53"/>
      <c r="Q349" s="53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53"/>
      <c r="AG349" s="53"/>
      <c r="AH349" s="53"/>
    </row>
    <row r="350" spans="1:34" x14ac:dyDescent="0.25">
      <c r="A350" s="53"/>
      <c r="B350" s="53"/>
      <c r="C350" s="53"/>
      <c r="D350" s="53"/>
      <c r="E350" s="53" t="s">
        <v>12</v>
      </c>
      <c r="F350" s="53" t="e">
        <f>VLOOKUP(E350,'Price indx'!#REF!,3,FALSE)</f>
        <v>#REF!</v>
      </c>
      <c r="G350" s="53"/>
      <c r="H350" s="52" t="e">
        <f t="shared" si="18"/>
        <v>#REF!</v>
      </c>
      <c r="I350" s="54" t="e">
        <f t="shared" si="19"/>
        <v>#REF!</v>
      </c>
      <c r="J350" s="48">
        <v>0</v>
      </c>
      <c r="K350" s="52">
        <f t="shared" si="17"/>
        <v>0</v>
      </c>
      <c r="L350" s="53"/>
      <c r="M350" s="53"/>
      <c r="N350" s="53"/>
      <c r="O350" s="53"/>
      <c r="P350" s="53"/>
      <c r="Q350" s="53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53"/>
      <c r="AG350" s="53"/>
      <c r="AH350" s="53"/>
    </row>
    <row r="351" spans="1:34" x14ac:dyDescent="0.25">
      <c r="A351" s="53"/>
      <c r="B351" s="53"/>
      <c r="C351" s="53"/>
      <c r="D351" s="53"/>
      <c r="E351" s="53" t="s">
        <v>12</v>
      </c>
      <c r="F351" s="53" t="e">
        <f>VLOOKUP(E351,'Price indx'!#REF!,3,FALSE)</f>
        <v>#REF!</v>
      </c>
      <c r="G351" s="53"/>
      <c r="H351" s="52" t="e">
        <f t="shared" si="18"/>
        <v>#REF!</v>
      </c>
      <c r="I351" s="54" t="e">
        <f t="shared" si="19"/>
        <v>#REF!</v>
      </c>
      <c r="J351" s="48">
        <v>0</v>
      </c>
      <c r="K351" s="52">
        <f t="shared" si="17"/>
        <v>0</v>
      </c>
      <c r="L351" s="53"/>
      <c r="M351" s="53"/>
      <c r="N351" s="53"/>
      <c r="O351" s="53"/>
      <c r="P351" s="53"/>
      <c r="Q351" s="53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53"/>
      <c r="AG351" s="53"/>
      <c r="AH351" s="53"/>
    </row>
    <row r="352" spans="1:34" x14ac:dyDescent="0.25">
      <c r="A352" s="53"/>
      <c r="B352" s="53"/>
      <c r="C352" s="53"/>
      <c r="D352" s="53"/>
      <c r="E352" s="53" t="s">
        <v>12</v>
      </c>
      <c r="F352" s="53" t="e">
        <f>VLOOKUP(E352,'Price indx'!#REF!,3,FALSE)</f>
        <v>#REF!</v>
      </c>
      <c r="G352" s="53"/>
      <c r="H352" s="52" t="e">
        <f t="shared" si="18"/>
        <v>#REF!</v>
      </c>
      <c r="I352" s="54" t="e">
        <f t="shared" si="19"/>
        <v>#REF!</v>
      </c>
      <c r="J352" s="48">
        <v>0</v>
      </c>
      <c r="K352" s="52">
        <f t="shared" si="17"/>
        <v>0</v>
      </c>
      <c r="L352" s="53"/>
      <c r="M352" s="53"/>
      <c r="N352" s="53"/>
      <c r="O352" s="53"/>
      <c r="P352" s="53"/>
      <c r="Q352" s="53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53"/>
      <c r="AG352" s="53"/>
      <c r="AH352" s="53"/>
    </row>
    <row r="353" spans="1:34" x14ac:dyDescent="0.25">
      <c r="A353" s="53"/>
      <c r="B353" s="53"/>
      <c r="C353" s="53"/>
      <c r="D353" s="53"/>
      <c r="E353" s="53" t="s">
        <v>12</v>
      </c>
      <c r="F353" s="53" t="e">
        <f>VLOOKUP(E353,'Price indx'!#REF!,3,FALSE)</f>
        <v>#REF!</v>
      </c>
      <c r="G353" s="53"/>
      <c r="H353" s="52" t="e">
        <f t="shared" si="18"/>
        <v>#REF!</v>
      </c>
      <c r="I353" s="54" t="e">
        <f t="shared" si="19"/>
        <v>#REF!</v>
      </c>
      <c r="J353" s="48">
        <v>0</v>
      </c>
      <c r="K353" s="52">
        <f t="shared" si="17"/>
        <v>0</v>
      </c>
      <c r="L353" s="53"/>
      <c r="M353" s="53"/>
      <c r="N353" s="53"/>
      <c r="O353" s="53"/>
      <c r="P353" s="53"/>
      <c r="Q353" s="53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53"/>
      <c r="AG353" s="53"/>
      <c r="AH353" s="53"/>
    </row>
    <row r="354" spans="1:34" x14ac:dyDescent="0.25">
      <c r="A354" s="53"/>
      <c r="B354" s="53"/>
      <c r="C354" s="53"/>
      <c r="D354" s="53"/>
      <c r="E354" s="53" t="s">
        <v>12</v>
      </c>
      <c r="F354" s="53" t="e">
        <f>VLOOKUP(E354,'Price indx'!#REF!,3,FALSE)</f>
        <v>#REF!</v>
      </c>
      <c r="G354" s="53"/>
      <c r="H354" s="52" t="e">
        <f t="shared" si="18"/>
        <v>#REF!</v>
      </c>
      <c r="I354" s="54" t="e">
        <f t="shared" si="19"/>
        <v>#REF!</v>
      </c>
      <c r="J354" s="48">
        <v>0</v>
      </c>
      <c r="K354" s="52">
        <f t="shared" si="17"/>
        <v>0</v>
      </c>
      <c r="L354" s="53"/>
      <c r="M354" s="53"/>
      <c r="N354" s="53"/>
      <c r="O354" s="53"/>
      <c r="P354" s="53"/>
      <c r="Q354" s="53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53"/>
      <c r="AG354" s="53"/>
      <c r="AH354" s="53"/>
    </row>
    <row r="355" spans="1:34" x14ac:dyDescent="0.25">
      <c r="A355" s="53"/>
      <c r="B355" s="53"/>
      <c r="C355" s="53"/>
      <c r="D355" s="53"/>
      <c r="E355" s="53" t="s">
        <v>12</v>
      </c>
      <c r="F355" s="53" t="e">
        <f>VLOOKUP(E355,'Price indx'!#REF!,3,FALSE)</f>
        <v>#REF!</v>
      </c>
      <c r="G355" s="53"/>
      <c r="H355" s="52" t="e">
        <f t="shared" si="18"/>
        <v>#REF!</v>
      </c>
      <c r="I355" s="54" t="e">
        <f t="shared" si="19"/>
        <v>#REF!</v>
      </c>
      <c r="J355" s="48">
        <v>0</v>
      </c>
      <c r="K355" s="52">
        <f t="shared" si="17"/>
        <v>0</v>
      </c>
      <c r="L355" s="53"/>
      <c r="M355" s="53"/>
      <c r="N355" s="53"/>
      <c r="O355" s="53"/>
      <c r="P355" s="53"/>
      <c r="Q355" s="53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53"/>
      <c r="AG355" s="53"/>
      <c r="AH355" s="53"/>
    </row>
    <row r="356" spans="1:34" x14ac:dyDescent="0.25">
      <c r="A356" s="53"/>
      <c r="B356" s="53"/>
      <c r="C356" s="53"/>
      <c r="D356" s="53"/>
      <c r="E356" s="53" t="s">
        <v>12</v>
      </c>
      <c r="F356" s="53" t="e">
        <f>VLOOKUP(E356,'Price indx'!#REF!,3,FALSE)</f>
        <v>#REF!</v>
      </c>
      <c r="G356" s="53"/>
      <c r="H356" s="52" t="e">
        <f t="shared" si="18"/>
        <v>#REF!</v>
      </c>
      <c r="I356" s="54" t="e">
        <f t="shared" si="19"/>
        <v>#REF!</v>
      </c>
      <c r="J356" s="48">
        <v>0</v>
      </c>
      <c r="K356" s="52">
        <f t="shared" si="17"/>
        <v>0</v>
      </c>
      <c r="L356" s="53"/>
      <c r="M356" s="53"/>
      <c r="N356" s="53"/>
      <c r="O356" s="53"/>
      <c r="P356" s="53"/>
      <c r="Q356" s="53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53"/>
      <c r="AG356" s="53"/>
      <c r="AH356" s="53"/>
    </row>
    <row r="357" spans="1:34" x14ac:dyDescent="0.25">
      <c r="A357" s="53"/>
      <c r="B357" s="53"/>
      <c r="C357" s="53"/>
      <c r="D357" s="53"/>
      <c r="E357" s="53" t="s">
        <v>12</v>
      </c>
      <c r="F357" s="53" t="e">
        <f>VLOOKUP(E357,'Price indx'!#REF!,3,FALSE)</f>
        <v>#REF!</v>
      </c>
      <c r="G357" s="53"/>
      <c r="H357" s="52" t="e">
        <f t="shared" si="18"/>
        <v>#REF!</v>
      </c>
      <c r="I357" s="54" t="e">
        <f t="shared" si="19"/>
        <v>#REF!</v>
      </c>
      <c r="J357" s="48">
        <v>0</v>
      </c>
      <c r="K357" s="52">
        <f t="shared" si="17"/>
        <v>0</v>
      </c>
      <c r="L357" s="53"/>
      <c r="M357" s="53"/>
      <c r="N357" s="53"/>
      <c r="O357" s="53"/>
      <c r="P357" s="53"/>
      <c r="Q357" s="53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53"/>
      <c r="AG357" s="53"/>
      <c r="AH357" s="53"/>
    </row>
    <row r="358" spans="1:34" x14ac:dyDescent="0.25">
      <c r="A358" s="53"/>
      <c r="B358" s="53"/>
      <c r="C358" s="53"/>
      <c r="D358" s="53"/>
      <c r="E358" s="53" t="s">
        <v>12</v>
      </c>
      <c r="F358" s="53" t="e">
        <f>VLOOKUP(E358,'Price indx'!#REF!,3,FALSE)</f>
        <v>#REF!</v>
      </c>
      <c r="G358" s="53"/>
      <c r="H358" s="52" t="e">
        <f t="shared" si="18"/>
        <v>#REF!</v>
      </c>
      <c r="I358" s="54" t="e">
        <f t="shared" si="19"/>
        <v>#REF!</v>
      </c>
      <c r="J358" s="48">
        <v>0</v>
      </c>
      <c r="K358" s="52">
        <f t="shared" si="17"/>
        <v>0</v>
      </c>
      <c r="L358" s="53"/>
      <c r="M358" s="53"/>
      <c r="N358" s="53"/>
      <c r="O358" s="53"/>
      <c r="P358" s="53"/>
      <c r="Q358" s="53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53"/>
      <c r="AG358" s="53"/>
      <c r="AH358" s="53"/>
    </row>
    <row r="359" spans="1:34" x14ac:dyDescent="0.25">
      <c r="A359" s="53"/>
      <c r="B359" s="53"/>
      <c r="C359" s="53"/>
      <c r="D359" s="53"/>
      <c r="E359" s="53" t="s">
        <v>12</v>
      </c>
      <c r="F359" s="53" t="e">
        <f>VLOOKUP(E359,'Price indx'!#REF!,3,FALSE)</f>
        <v>#REF!</v>
      </c>
      <c r="G359" s="53"/>
      <c r="H359" s="52" t="e">
        <f t="shared" si="18"/>
        <v>#REF!</v>
      </c>
      <c r="I359" s="54" t="e">
        <f t="shared" si="19"/>
        <v>#REF!</v>
      </c>
      <c r="J359" s="48">
        <v>0</v>
      </c>
      <c r="K359" s="52">
        <f t="shared" si="17"/>
        <v>0</v>
      </c>
      <c r="L359" s="53"/>
      <c r="M359" s="53"/>
      <c r="N359" s="53"/>
      <c r="O359" s="53"/>
      <c r="P359" s="53"/>
      <c r="Q359" s="53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53"/>
      <c r="AG359" s="53"/>
      <c r="AH359" s="53"/>
    </row>
    <row r="360" spans="1:34" x14ac:dyDescent="0.25">
      <c r="A360" s="53"/>
      <c r="B360" s="53"/>
      <c r="C360" s="53"/>
      <c r="D360" s="53"/>
      <c r="E360" s="53" t="s">
        <v>12</v>
      </c>
      <c r="F360" s="53" t="e">
        <f>VLOOKUP(E360,'Price indx'!#REF!,3,FALSE)</f>
        <v>#REF!</v>
      </c>
      <c r="G360" s="53"/>
      <c r="H360" s="52" t="e">
        <f t="shared" si="18"/>
        <v>#REF!</v>
      </c>
      <c r="I360" s="54" t="e">
        <f t="shared" si="19"/>
        <v>#REF!</v>
      </c>
      <c r="J360" s="48">
        <v>0</v>
      </c>
      <c r="K360" s="52">
        <f t="shared" si="17"/>
        <v>0</v>
      </c>
      <c r="L360" s="53"/>
      <c r="M360" s="53"/>
      <c r="N360" s="53"/>
      <c r="O360" s="53"/>
      <c r="P360" s="53"/>
      <c r="Q360" s="53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53"/>
      <c r="AG360" s="53"/>
      <c r="AH360" s="53"/>
    </row>
    <row r="361" spans="1:34" x14ac:dyDescent="0.25">
      <c r="A361" s="53"/>
      <c r="B361" s="53"/>
      <c r="C361" s="53"/>
      <c r="D361" s="53"/>
      <c r="E361" s="53" t="s">
        <v>12</v>
      </c>
      <c r="F361" s="53" t="e">
        <f>VLOOKUP(E361,'Price indx'!#REF!,3,FALSE)</f>
        <v>#REF!</v>
      </c>
      <c r="G361" s="53"/>
      <c r="H361" s="52" t="e">
        <f t="shared" si="18"/>
        <v>#REF!</v>
      </c>
      <c r="I361" s="54" t="e">
        <f t="shared" si="19"/>
        <v>#REF!</v>
      </c>
      <c r="J361" s="48">
        <v>0</v>
      </c>
      <c r="K361" s="52">
        <f t="shared" si="17"/>
        <v>0</v>
      </c>
      <c r="L361" s="53"/>
      <c r="M361" s="53"/>
      <c r="N361" s="53"/>
      <c r="O361" s="53"/>
      <c r="P361" s="53"/>
      <c r="Q361" s="53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53"/>
      <c r="AG361" s="53"/>
      <c r="AH361" s="53"/>
    </row>
    <row r="362" spans="1:34" x14ac:dyDescent="0.25">
      <c r="A362" s="53"/>
      <c r="B362" s="53"/>
      <c r="C362" s="53"/>
      <c r="D362" s="53"/>
      <c r="E362" s="53" t="s">
        <v>12</v>
      </c>
      <c r="F362" s="53" t="e">
        <f>VLOOKUP(E362,'Price indx'!#REF!,3,FALSE)</f>
        <v>#REF!</v>
      </c>
      <c r="G362" s="53"/>
      <c r="H362" s="52" t="e">
        <f t="shared" si="18"/>
        <v>#REF!</v>
      </c>
      <c r="I362" s="54" t="e">
        <f t="shared" si="19"/>
        <v>#REF!</v>
      </c>
      <c r="J362" s="48">
        <v>0</v>
      </c>
      <c r="K362" s="52">
        <f t="shared" si="17"/>
        <v>0</v>
      </c>
      <c r="L362" s="53"/>
      <c r="M362" s="53"/>
      <c r="N362" s="53"/>
      <c r="O362" s="53"/>
      <c r="P362" s="53"/>
      <c r="Q362" s="53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53"/>
      <c r="AG362" s="53"/>
      <c r="AH362" s="53"/>
    </row>
    <row r="363" spans="1:34" x14ac:dyDescent="0.25">
      <c r="A363" s="53"/>
      <c r="B363" s="53"/>
      <c r="C363" s="53"/>
      <c r="D363" s="53"/>
      <c r="E363" s="53" t="s">
        <v>12</v>
      </c>
      <c r="F363" s="53" t="e">
        <f>VLOOKUP(E363,'Price indx'!#REF!,3,FALSE)</f>
        <v>#REF!</v>
      </c>
      <c r="G363" s="53"/>
      <c r="H363" s="52" t="e">
        <f t="shared" si="18"/>
        <v>#REF!</v>
      </c>
      <c r="I363" s="54" t="e">
        <f t="shared" si="19"/>
        <v>#REF!</v>
      </c>
      <c r="J363" s="48">
        <v>0</v>
      </c>
      <c r="K363" s="52">
        <f t="shared" si="17"/>
        <v>0</v>
      </c>
      <c r="L363" s="53"/>
      <c r="M363" s="53"/>
      <c r="N363" s="53"/>
      <c r="O363" s="53"/>
      <c r="P363" s="53"/>
      <c r="Q363" s="53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53"/>
      <c r="AG363" s="53"/>
      <c r="AH363" s="53"/>
    </row>
    <row r="364" spans="1:34" x14ac:dyDescent="0.25">
      <c r="A364" s="53"/>
      <c r="B364" s="53"/>
      <c r="C364" s="53"/>
      <c r="D364" s="53"/>
      <c r="E364" s="53" t="s">
        <v>12</v>
      </c>
      <c r="F364" s="53" t="e">
        <f>VLOOKUP(E364,'Price indx'!#REF!,3,FALSE)</f>
        <v>#REF!</v>
      </c>
      <c r="G364" s="53"/>
      <c r="H364" s="52" t="e">
        <f t="shared" si="18"/>
        <v>#REF!</v>
      </c>
      <c r="I364" s="54" t="e">
        <f t="shared" si="19"/>
        <v>#REF!</v>
      </c>
      <c r="J364" s="48">
        <v>0</v>
      </c>
      <c r="K364" s="52">
        <f t="shared" si="17"/>
        <v>0</v>
      </c>
      <c r="L364" s="53"/>
      <c r="M364" s="53"/>
      <c r="N364" s="53"/>
      <c r="O364" s="53"/>
      <c r="P364" s="53"/>
      <c r="Q364" s="53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53"/>
      <c r="AG364" s="53"/>
      <c r="AH364" s="53"/>
    </row>
    <row r="365" spans="1:34" x14ac:dyDescent="0.25">
      <c r="A365" s="53"/>
      <c r="B365" s="53"/>
      <c r="C365" s="53"/>
      <c r="D365" s="53"/>
      <c r="E365" s="53" t="s">
        <v>12</v>
      </c>
      <c r="F365" s="53" t="e">
        <f>VLOOKUP(E365,'Price indx'!#REF!,3,FALSE)</f>
        <v>#REF!</v>
      </c>
      <c r="G365" s="53"/>
      <c r="H365" s="52" t="e">
        <f t="shared" si="18"/>
        <v>#REF!</v>
      </c>
      <c r="I365" s="54" t="e">
        <f t="shared" si="19"/>
        <v>#REF!</v>
      </c>
      <c r="J365" s="48">
        <v>0</v>
      </c>
      <c r="K365" s="52">
        <f t="shared" si="17"/>
        <v>0</v>
      </c>
      <c r="L365" s="53"/>
      <c r="M365" s="53"/>
      <c r="N365" s="53"/>
      <c r="O365" s="53"/>
      <c r="P365" s="53"/>
      <c r="Q365" s="53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53"/>
      <c r="AG365" s="53"/>
      <c r="AH365" s="53"/>
    </row>
    <row r="366" spans="1:34" x14ac:dyDescent="0.25">
      <c r="A366" s="53"/>
      <c r="B366" s="53"/>
      <c r="C366" s="53"/>
      <c r="D366" s="53"/>
      <c r="E366" s="53" t="s">
        <v>12</v>
      </c>
      <c r="F366" s="53" t="e">
        <f>VLOOKUP(E366,'Price indx'!#REF!,3,FALSE)</f>
        <v>#REF!</v>
      </c>
      <c r="G366" s="53"/>
      <c r="H366" s="52" t="e">
        <f t="shared" si="18"/>
        <v>#REF!</v>
      </c>
      <c r="I366" s="54" t="e">
        <f t="shared" si="19"/>
        <v>#REF!</v>
      </c>
      <c r="J366" s="48">
        <v>0</v>
      </c>
      <c r="K366" s="52">
        <f t="shared" si="17"/>
        <v>0</v>
      </c>
      <c r="L366" s="53"/>
      <c r="M366" s="53"/>
      <c r="N366" s="53"/>
      <c r="O366" s="53"/>
      <c r="P366" s="53"/>
      <c r="Q366" s="53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53"/>
      <c r="AG366" s="53"/>
      <c r="AH366" s="53"/>
    </row>
    <row r="367" spans="1:34" x14ac:dyDescent="0.25">
      <c r="A367" s="53"/>
      <c r="B367" s="53"/>
      <c r="C367" s="53"/>
      <c r="D367" s="53"/>
      <c r="E367" s="53" t="s">
        <v>12</v>
      </c>
      <c r="F367" s="53" t="e">
        <f>VLOOKUP(E367,'Price indx'!#REF!,3,FALSE)</f>
        <v>#REF!</v>
      </c>
      <c r="G367" s="53"/>
      <c r="H367" s="52" t="e">
        <f t="shared" si="18"/>
        <v>#REF!</v>
      </c>
      <c r="I367" s="54" t="e">
        <f t="shared" si="19"/>
        <v>#REF!</v>
      </c>
      <c r="J367" s="48">
        <v>0</v>
      </c>
      <c r="K367" s="52">
        <f t="shared" si="17"/>
        <v>0</v>
      </c>
      <c r="L367" s="53"/>
      <c r="M367" s="53"/>
      <c r="N367" s="53"/>
      <c r="O367" s="53"/>
      <c r="P367" s="53"/>
      <c r="Q367" s="53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53"/>
      <c r="AG367" s="53"/>
      <c r="AH367" s="53"/>
    </row>
    <row r="368" spans="1:34" x14ac:dyDescent="0.25">
      <c r="A368" s="53"/>
      <c r="B368" s="53"/>
      <c r="C368" s="53"/>
      <c r="D368" s="53"/>
      <c r="E368" s="53" t="s">
        <v>12</v>
      </c>
      <c r="F368" s="53" t="e">
        <f>VLOOKUP(E368,'Price indx'!#REF!,3,FALSE)</f>
        <v>#REF!</v>
      </c>
      <c r="G368" s="53"/>
      <c r="H368" s="52" t="e">
        <f t="shared" si="18"/>
        <v>#REF!</v>
      </c>
      <c r="I368" s="54" t="e">
        <f t="shared" si="19"/>
        <v>#REF!</v>
      </c>
      <c r="J368" s="48">
        <v>0</v>
      </c>
      <c r="K368" s="52">
        <f t="shared" si="17"/>
        <v>0</v>
      </c>
      <c r="L368" s="53"/>
      <c r="M368" s="53"/>
      <c r="N368" s="53"/>
      <c r="O368" s="53"/>
      <c r="P368" s="53"/>
      <c r="Q368" s="53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53"/>
      <c r="AG368" s="53"/>
      <c r="AH368" s="53"/>
    </row>
    <row r="369" spans="1:34" x14ac:dyDescent="0.25">
      <c r="A369" s="53"/>
      <c r="B369" s="53"/>
      <c r="C369" s="53"/>
      <c r="D369" s="53"/>
      <c r="E369" s="53" t="s">
        <v>12</v>
      </c>
      <c r="F369" s="53" t="e">
        <f>VLOOKUP(E369,'Price indx'!#REF!,3,FALSE)</f>
        <v>#REF!</v>
      </c>
      <c r="G369" s="53"/>
      <c r="H369" s="52" t="e">
        <f t="shared" si="18"/>
        <v>#REF!</v>
      </c>
      <c r="I369" s="54" t="e">
        <f t="shared" si="19"/>
        <v>#REF!</v>
      </c>
      <c r="J369" s="48">
        <v>0</v>
      </c>
      <c r="K369" s="52">
        <f t="shared" si="17"/>
        <v>0</v>
      </c>
      <c r="L369" s="53"/>
      <c r="M369" s="53"/>
      <c r="N369" s="53"/>
      <c r="O369" s="53"/>
      <c r="P369" s="53"/>
      <c r="Q369" s="53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53"/>
      <c r="AG369" s="53"/>
      <c r="AH369" s="53"/>
    </row>
    <row r="370" spans="1:34" x14ac:dyDescent="0.25">
      <c r="A370" s="53"/>
      <c r="B370" s="53"/>
      <c r="C370" s="53"/>
      <c r="D370" s="53"/>
      <c r="E370" s="53" t="s">
        <v>12</v>
      </c>
      <c r="F370" s="53" t="e">
        <f>VLOOKUP(E370,'Price indx'!#REF!,3,FALSE)</f>
        <v>#REF!</v>
      </c>
      <c r="G370" s="53"/>
      <c r="H370" s="52" t="e">
        <f t="shared" si="18"/>
        <v>#REF!</v>
      </c>
      <c r="I370" s="54" t="e">
        <f t="shared" si="19"/>
        <v>#REF!</v>
      </c>
      <c r="J370" s="48">
        <v>0</v>
      </c>
      <c r="K370" s="52">
        <f t="shared" si="17"/>
        <v>0</v>
      </c>
      <c r="L370" s="53"/>
      <c r="M370" s="53"/>
      <c r="N370" s="53"/>
      <c r="O370" s="53"/>
      <c r="P370" s="53"/>
      <c r="Q370" s="53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53"/>
      <c r="AG370" s="53"/>
      <c r="AH370" s="53"/>
    </row>
    <row r="371" spans="1:34" x14ac:dyDescent="0.25">
      <c r="A371" s="53"/>
      <c r="B371" s="53"/>
      <c r="C371" s="53"/>
      <c r="D371" s="53"/>
      <c r="E371" s="53" t="s">
        <v>12</v>
      </c>
      <c r="F371" s="53" t="e">
        <f>VLOOKUP(E371,'Price indx'!#REF!,3,FALSE)</f>
        <v>#REF!</v>
      </c>
      <c r="G371" s="53"/>
      <c r="H371" s="52" t="e">
        <f t="shared" si="18"/>
        <v>#REF!</v>
      </c>
      <c r="I371" s="54" t="e">
        <f t="shared" si="19"/>
        <v>#REF!</v>
      </c>
      <c r="J371" s="48">
        <v>0</v>
      </c>
      <c r="K371" s="52">
        <f t="shared" si="17"/>
        <v>0</v>
      </c>
      <c r="L371" s="53"/>
      <c r="M371" s="53"/>
      <c r="N371" s="53"/>
      <c r="O371" s="53"/>
      <c r="P371" s="53"/>
      <c r="Q371" s="53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53"/>
      <c r="AG371" s="53"/>
      <c r="AH371" s="53"/>
    </row>
    <row r="372" spans="1:34" x14ac:dyDescent="0.25">
      <c r="A372" s="53"/>
      <c r="B372" s="53"/>
      <c r="C372" s="53"/>
      <c r="D372" s="53"/>
      <c r="E372" s="53" t="s">
        <v>12</v>
      </c>
      <c r="F372" s="53" t="e">
        <f>VLOOKUP(E372,'Price indx'!#REF!,3,FALSE)</f>
        <v>#REF!</v>
      </c>
      <c r="G372" s="53"/>
      <c r="H372" s="52" t="e">
        <f t="shared" si="18"/>
        <v>#REF!</v>
      </c>
      <c r="I372" s="54" t="e">
        <f t="shared" si="19"/>
        <v>#REF!</v>
      </c>
      <c r="J372" s="48">
        <v>0</v>
      </c>
      <c r="K372" s="52">
        <f t="shared" si="17"/>
        <v>0</v>
      </c>
      <c r="L372" s="53"/>
      <c r="M372" s="53"/>
      <c r="N372" s="53"/>
      <c r="O372" s="53"/>
      <c r="P372" s="53"/>
      <c r="Q372" s="53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53"/>
      <c r="AG372" s="53"/>
      <c r="AH372" s="53"/>
    </row>
    <row r="373" spans="1:34" x14ac:dyDescent="0.25">
      <c r="A373" s="53"/>
      <c r="B373" s="53"/>
      <c r="C373" s="53"/>
      <c r="D373" s="53"/>
      <c r="E373" s="53" t="s">
        <v>12</v>
      </c>
      <c r="F373" s="53" t="e">
        <f>VLOOKUP(E373,'Price indx'!#REF!,3,FALSE)</f>
        <v>#REF!</v>
      </c>
      <c r="G373" s="53"/>
      <c r="H373" s="52" t="e">
        <f t="shared" si="18"/>
        <v>#REF!</v>
      </c>
      <c r="I373" s="54" t="e">
        <f t="shared" si="19"/>
        <v>#REF!</v>
      </c>
      <c r="J373" s="48">
        <v>0</v>
      </c>
      <c r="K373" s="52">
        <f t="shared" si="17"/>
        <v>0</v>
      </c>
      <c r="L373" s="53"/>
      <c r="M373" s="53"/>
      <c r="N373" s="53"/>
      <c r="O373" s="53"/>
      <c r="P373" s="53"/>
      <c r="Q373" s="53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53"/>
      <c r="AG373" s="53"/>
      <c r="AH373" s="53"/>
    </row>
    <row r="374" spans="1:34" x14ac:dyDescent="0.25">
      <c r="A374" s="53"/>
      <c r="B374" s="53"/>
      <c r="C374" s="53"/>
      <c r="D374" s="53"/>
      <c r="E374" s="53" t="s">
        <v>12</v>
      </c>
      <c r="F374" s="53" t="e">
        <f>VLOOKUP(E374,'Price indx'!#REF!,3,FALSE)</f>
        <v>#REF!</v>
      </c>
      <c r="G374" s="53"/>
      <c r="H374" s="52" t="e">
        <f t="shared" si="18"/>
        <v>#REF!</v>
      </c>
      <c r="I374" s="54" t="e">
        <f t="shared" si="19"/>
        <v>#REF!</v>
      </c>
      <c r="J374" s="48">
        <v>0</v>
      </c>
      <c r="K374" s="52">
        <f t="shared" si="17"/>
        <v>0</v>
      </c>
      <c r="L374" s="53"/>
      <c r="M374" s="53"/>
      <c r="N374" s="53"/>
      <c r="O374" s="53"/>
      <c r="P374" s="53"/>
      <c r="Q374" s="53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53"/>
      <c r="AG374" s="53"/>
      <c r="AH374" s="53"/>
    </row>
    <row r="375" spans="1:34" x14ac:dyDescent="0.25">
      <c r="A375" s="53"/>
      <c r="B375" s="53"/>
      <c r="C375" s="53"/>
      <c r="D375" s="53"/>
      <c r="E375" s="53" t="s">
        <v>12</v>
      </c>
      <c r="F375" s="53" t="e">
        <f>VLOOKUP(E375,'Price indx'!#REF!,3,FALSE)</f>
        <v>#REF!</v>
      </c>
      <c r="G375" s="53"/>
      <c r="H375" s="52" t="e">
        <f t="shared" si="18"/>
        <v>#REF!</v>
      </c>
      <c r="I375" s="54" t="e">
        <f t="shared" si="19"/>
        <v>#REF!</v>
      </c>
      <c r="J375" s="48">
        <v>0</v>
      </c>
      <c r="K375" s="52">
        <f t="shared" si="17"/>
        <v>0</v>
      </c>
      <c r="L375" s="53"/>
      <c r="M375" s="53"/>
      <c r="N375" s="53"/>
      <c r="O375" s="53"/>
      <c r="P375" s="53"/>
      <c r="Q375" s="53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53"/>
      <c r="AG375" s="53"/>
      <c r="AH375" s="53"/>
    </row>
    <row r="376" spans="1:34" x14ac:dyDescent="0.25">
      <c r="A376" s="53"/>
      <c r="B376" s="53"/>
      <c r="C376" s="53"/>
      <c r="D376" s="53"/>
      <c r="E376" s="53" t="s">
        <v>12</v>
      </c>
      <c r="F376" s="53" t="e">
        <f>VLOOKUP(E376,'Price indx'!#REF!,3,FALSE)</f>
        <v>#REF!</v>
      </c>
      <c r="G376" s="53"/>
      <c r="H376" s="52" t="e">
        <f t="shared" si="18"/>
        <v>#REF!</v>
      </c>
      <c r="I376" s="54" t="e">
        <f t="shared" si="19"/>
        <v>#REF!</v>
      </c>
      <c r="J376" s="48">
        <v>0</v>
      </c>
      <c r="K376" s="52">
        <f t="shared" si="17"/>
        <v>0</v>
      </c>
      <c r="L376" s="53"/>
      <c r="M376" s="53"/>
      <c r="N376" s="53"/>
      <c r="O376" s="53"/>
      <c r="P376" s="53"/>
      <c r="Q376" s="53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53"/>
      <c r="AG376" s="53"/>
      <c r="AH376" s="53"/>
    </row>
    <row r="377" spans="1:34" x14ac:dyDescent="0.25">
      <c r="A377" s="53"/>
      <c r="B377" s="53"/>
      <c r="C377" s="53"/>
      <c r="D377" s="53"/>
      <c r="E377" s="53" t="s">
        <v>12</v>
      </c>
      <c r="F377" s="53" t="e">
        <f>VLOOKUP(E377,'Price indx'!#REF!,3,FALSE)</f>
        <v>#REF!</v>
      </c>
      <c r="G377" s="53"/>
      <c r="H377" s="52" t="e">
        <f t="shared" si="18"/>
        <v>#REF!</v>
      </c>
      <c r="I377" s="54" t="e">
        <f t="shared" si="19"/>
        <v>#REF!</v>
      </c>
      <c r="J377" s="48">
        <v>0</v>
      </c>
      <c r="K377" s="52">
        <f t="shared" si="17"/>
        <v>0</v>
      </c>
      <c r="L377" s="53"/>
      <c r="M377" s="53"/>
      <c r="N377" s="53"/>
      <c r="O377" s="53"/>
      <c r="P377" s="53"/>
      <c r="Q377" s="53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53"/>
      <c r="AG377" s="53"/>
      <c r="AH377" s="53"/>
    </row>
    <row r="378" spans="1:34" x14ac:dyDescent="0.25">
      <c r="A378" s="53"/>
      <c r="B378" s="53"/>
      <c r="C378" s="53"/>
      <c r="D378" s="53"/>
      <c r="E378" s="53" t="s">
        <v>12</v>
      </c>
      <c r="F378" s="53" t="e">
        <f>VLOOKUP(E378,'Price indx'!#REF!,3,FALSE)</f>
        <v>#REF!</v>
      </c>
      <c r="G378" s="53"/>
      <c r="H378" s="52" t="e">
        <f t="shared" si="18"/>
        <v>#REF!</v>
      </c>
      <c r="I378" s="54" t="e">
        <f t="shared" si="19"/>
        <v>#REF!</v>
      </c>
      <c r="J378" s="48">
        <v>0</v>
      </c>
      <c r="K378" s="52">
        <f t="shared" si="17"/>
        <v>0</v>
      </c>
      <c r="L378" s="53"/>
      <c r="M378" s="53"/>
      <c r="N378" s="53"/>
      <c r="O378" s="53"/>
      <c r="P378" s="53"/>
      <c r="Q378" s="53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53"/>
      <c r="AG378" s="53"/>
      <c r="AH378" s="53"/>
    </row>
    <row r="379" spans="1:34" x14ac:dyDescent="0.25">
      <c r="A379" s="53"/>
      <c r="B379" s="53"/>
      <c r="C379" s="53"/>
      <c r="D379" s="53"/>
      <c r="E379" s="53" t="s">
        <v>12</v>
      </c>
      <c r="F379" s="53" t="e">
        <f>VLOOKUP(E379,'Price indx'!#REF!,3,FALSE)</f>
        <v>#REF!</v>
      </c>
      <c r="G379" s="53"/>
      <c r="H379" s="52" t="e">
        <f t="shared" si="18"/>
        <v>#REF!</v>
      </c>
      <c r="I379" s="54" t="e">
        <f t="shared" si="19"/>
        <v>#REF!</v>
      </c>
      <c r="J379" s="48">
        <v>0</v>
      </c>
      <c r="K379" s="52">
        <f t="shared" si="17"/>
        <v>0</v>
      </c>
      <c r="L379" s="53"/>
      <c r="M379" s="53"/>
      <c r="N379" s="53"/>
      <c r="O379" s="53"/>
      <c r="P379" s="53"/>
      <c r="Q379" s="53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53"/>
      <c r="AG379" s="53"/>
      <c r="AH379" s="53"/>
    </row>
    <row r="380" spans="1:34" x14ac:dyDescent="0.25">
      <c r="A380" s="53"/>
      <c r="B380" s="53"/>
      <c r="C380" s="53"/>
      <c r="D380" s="53"/>
      <c r="E380" s="53" t="s">
        <v>12</v>
      </c>
      <c r="F380" s="53" t="e">
        <f>VLOOKUP(E380,'Price indx'!#REF!,3,FALSE)</f>
        <v>#REF!</v>
      </c>
      <c r="G380" s="53"/>
      <c r="H380" s="52" t="e">
        <f t="shared" si="18"/>
        <v>#REF!</v>
      </c>
      <c r="I380" s="54" t="e">
        <f t="shared" si="19"/>
        <v>#REF!</v>
      </c>
      <c r="J380" s="48">
        <v>0</v>
      </c>
      <c r="K380" s="52">
        <f t="shared" si="17"/>
        <v>0</v>
      </c>
      <c r="L380" s="53"/>
      <c r="M380" s="53"/>
      <c r="N380" s="53"/>
      <c r="O380" s="53"/>
      <c r="P380" s="53"/>
      <c r="Q380" s="53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53"/>
      <c r="AG380" s="53"/>
      <c r="AH380" s="53"/>
    </row>
    <row r="381" spans="1:34" x14ac:dyDescent="0.25">
      <c r="A381" s="53"/>
      <c r="B381" s="53"/>
      <c r="C381" s="53"/>
      <c r="D381" s="53"/>
      <c r="E381" s="53" t="s">
        <v>12</v>
      </c>
      <c r="F381" s="53" t="e">
        <f>VLOOKUP(E381,'Price indx'!#REF!,3,FALSE)</f>
        <v>#REF!</v>
      </c>
      <c r="G381" s="53"/>
      <c r="H381" s="52" t="e">
        <f t="shared" si="18"/>
        <v>#REF!</v>
      </c>
      <c r="I381" s="54" t="e">
        <f t="shared" si="19"/>
        <v>#REF!</v>
      </c>
      <c r="J381" s="48">
        <v>0</v>
      </c>
      <c r="K381" s="52">
        <f t="shared" si="17"/>
        <v>0</v>
      </c>
      <c r="L381" s="53"/>
      <c r="M381" s="53"/>
      <c r="N381" s="53"/>
      <c r="O381" s="53"/>
      <c r="P381" s="53"/>
      <c r="Q381" s="53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53"/>
      <c r="AG381" s="53"/>
      <c r="AH381" s="53"/>
    </row>
    <row r="382" spans="1:34" x14ac:dyDescent="0.25">
      <c r="A382" s="53"/>
      <c r="B382" s="53"/>
      <c r="C382" s="53"/>
      <c r="D382" s="53"/>
      <c r="E382" s="53" t="s">
        <v>12</v>
      </c>
      <c r="F382" s="53" t="e">
        <f>VLOOKUP(E382,'Price indx'!#REF!,3,FALSE)</f>
        <v>#REF!</v>
      </c>
      <c r="G382" s="53"/>
      <c r="H382" s="52" t="e">
        <f t="shared" si="18"/>
        <v>#REF!</v>
      </c>
      <c r="I382" s="54" t="e">
        <f t="shared" si="19"/>
        <v>#REF!</v>
      </c>
      <c r="J382" s="48">
        <v>0</v>
      </c>
      <c r="K382" s="52">
        <f t="shared" si="17"/>
        <v>0</v>
      </c>
      <c r="L382" s="53"/>
      <c r="M382" s="53"/>
      <c r="N382" s="53"/>
      <c r="O382" s="53"/>
      <c r="P382" s="53"/>
      <c r="Q382" s="53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53"/>
      <c r="AG382" s="53"/>
      <c r="AH382" s="53"/>
    </row>
    <row r="383" spans="1:34" x14ac:dyDescent="0.25">
      <c r="A383" s="53"/>
      <c r="B383" s="53"/>
      <c r="C383" s="53"/>
      <c r="D383" s="53"/>
      <c r="E383" s="53" t="s">
        <v>12</v>
      </c>
      <c r="F383" s="53" t="e">
        <f>VLOOKUP(E383,'Price indx'!#REF!,3,FALSE)</f>
        <v>#REF!</v>
      </c>
      <c r="G383" s="53"/>
      <c r="H383" s="52" t="e">
        <f t="shared" si="18"/>
        <v>#REF!</v>
      </c>
      <c r="I383" s="54" t="e">
        <f t="shared" si="19"/>
        <v>#REF!</v>
      </c>
      <c r="J383" s="48">
        <v>0</v>
      </c>
      <c r="K383" s="52">
        <f t="shared" si="17"/>
        <v>0</v>
      </c>
      <c r="L383" s="53"/>
      <c r="M383" s="53"/>
      <c r="N383" s="53"/>
      <c r="O383" s="53"/>
      <c r="P383" s="53"/>
      <c r="Q383" s="53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53"/>
      <c r="AG383" s="53"/>
      <c r="AH383" s="53"/>
    </row>
    <row r="384" spans="1:34" x14ac:dyDescent="0.25">
      <c r="A384" s="53"/>
      <c r="B384" s="53"/>
      <c r="C384" s="53"/>
      <c r="D384" s="53"/>
      <c r="E384" s="53" t="s">
        <v>12</v>
      </c>
      <c r="F384" s="53" t="e">
        <f>VLOOKUP(E384,'Price indx'!#REF!,3,FALSE)</f>
        <v>#REF!</v>
      </c>
      <c r="G384" s="53"/>
      <c r="H384" s="52" t="e">
        <f t="shared" si="18"/>
        <v>#REF!</v>
      </c>
      <c r="I384" s="54" t="e">
        <f t="shared" si="19"/>
        <v>#REF!</v>
      </c>
      <c r="J384" s="48">
        <v>0</v>
      </c>
      <c r="K384" s="52">
        <f t="shared" si="17"/>
        <v>0</v>
      </c>
      <c r="L384" s="53"/>
      <c r="M384" s="53"/>
      <c r="N384" s="53"/>
      <c r="O384" s="53"/>
      <c r="P384" s="53"/>
      <c r="Q384" s="53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53"/>
      <c r="AG384" s="53"/>
      <c r="AH384" s="53"/>
    </row>
    <row r="385" spans="1:34" x14ac:dyDescent="0.25">
      <c r="A385" s="53"/>
      <c r="B385" s="53"/>
      <c r="C385" s="53"/>
      <c r="D385" s="53"/>
      <c r="E385" s="53" t="s">
        <v>12</v>
      </c>
      <c r="F385" s="53" t="e">
        <f>VLOOKUP(E385,'Price indx'!#REF!,3,FALSE)</f>
        <v>#REF!</v>
      </c>
      <c r="G385" s="53"/>
      <c r="H385" s="52" t="e">
        <f t="shared" si="18"/>
        <v>#REF!</v>
      </c>
      <c r="I385" s="54" t="e">
        <f t="shared" si="19"/>
        <v>#REF!</v>
      </c>
      <c r="J385" s="48">
        <v>0</v>
      </c>
      <c r="K385" s="52">
        <f t="shared" si="17"/>
        <v>0</v>
      </c>
      <c r="L385" s="53"/>
      <c r="M385" s="53"/>
      <c r="N385" s="53"/>
      <c r="O385" s="53"/>
      <c r="P385" s="53"/>
      <c r="Q385" s="53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53"/>
      <c r="AG385" s="53"/>
      <c r="AH385" s="53"/>
    </row>
    <row r="386" spans="1:34" x14ac:dyDescent="0.25">
      <c r="A386" s="53"/>
      <c r="B386" s="53"/>
      <c r="C386" s="53"/>
      <c r="D386" s="53"/>
      <c r="E386" s="53" t="s">
        <v>12</v>
      </c>
      <c r="F386" s="53" t="e">
        <f>VLOOKUP(E386,'Price indx'!#REF!,3,FALSE)</f>
        <v>#REF!</v>
      </c>
      <c r="G386" s="53"/>
      <c r="H386" s="52" t="e">
        <f t="shared" si="18"/>
        <v>#REF!</v>
      </c>
      <c r="I386" s="54" t="e">
        <f t="shared" si="19"/>
        <v>#REF!</v>
      </c>
      <c r="J386" s="48">
        <v>0</v>
      </c>
      <c r="K386" s="52">
        <f t="shared" si="17"/>
        <v>0</v>
      </c>
      <c r="L386" s="53"/>
      <c r="M386" s="53"/>
      <c r="N386" s="53"/>
      <c r="O386" s="53"/>
      <c r="P386" s="53"/>
      <c r="Q386" s="53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53"/>
      <c r="AG386" s="53"/>
      <c r="AH386" s="53"/>
    </row>
    <row r="387" spans="1:34" x14ac:dyDescent="0.25">
      <c r="A387" s="53"/>
      <c r="B387" s="53"/>
      <c r="C387" s="53"/>
      <c r="D387" s="53"/>
      <c r="E387" s="53" t="s">
        <v>12</v>
      </c>
      <c r="F387" s="53" t="e">
        <f>VLOOKUP(E387,'Price indx'!#REF!,3,FALSE)</f>
        <v>#REF!</v>
      </c>
      <c r="G387" s="53"/>
      <c r="H387" s="52" t="e">
        <f t="shared" si="18"/>
        <v>#REF!</v>
      </c>
      <c r="I387" s="54" t="e">
        <f t="shared" si="19"/>
        <v>#REF!</v>
      </c>
      <c r="J387" s="48">
        <v>0</v>
      </c>
      <c r="K387" s="52">
        <f t="shared" si="17"/>
        <v>0</v>
      </c>
      <c r="L387" s="53"/>
      <c r="M387" s="53"/>
      <c r="N387" s="53"/>
      <c r="O387" s="53"/>
      <c r="P387" s="53"/>
      <c r="Q387" s="53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53"/>
      <c r="AG387" s="53"/>
      <c r="AH387" s="53"/>
    </row>
    <row r="388" spans="1:34" x14ac:dyDescent="0.25">
      <c r="A388" s="53"/>
      <c r="B388" s="53"/>
      <c r="C388" s="53"/>
      <c r="D388" s="53"/>
      <c r="E388" s="53" t="s">
        <v>12</v>
      </c>
      <c r="F388" s="53" t="e">
        <f>VLOOKUP(E388,'Price indx'!#REF!,3,FALSE)</f>
        <v>#REF!</v>
      </c>
      <c r="G388" s="53"/>
      <c r="H388" s="52" t="e">
        <f t="shared" si="18"/>
        <v>#REF!</v>
      </c>
      <c r="I388" s="54" t="e">
        <f t="shared" si="19"/>
        <v>#REF!</v>
      </c>
      <c r="J388" s="48">
        <v>0</v>
      </c>
      <c r="K388" s="52">
        <f t="shared" ref="K388:K451" si="20">IF(A388=0,(C388),(0))</f>
        <v>0</v>
      </c>
      <c r="L388" s="53"/>
      <c r="M388" s="53"/>
      <c r="N388" s="53"/>
      <c r="O388" s="53"/>
      <c r="P388" s="53"/>
      <c r="Q388" s="53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53"/>
      <c r="AG388" s="53"/>
      <c r="AH388" s="53"/>
    </row>
    <row r="389" spans="1:34" x14ac:dyDescent="0.25">
      <c r="A389" s="53"/>
      <c r="B389" s="53"/>
      <c r="C389" s="53"/>
      <c r="D389" s="53"/>
      <c r="E389" s="53" t="s">
        <v>12</v>
      </c>
      <c r="F389" s="53" t="e">
        <f>VLOOKUP(E389,'Price indx'!#REF!,3,FALSE)</f>
        <v>#REF!</v>
      </c>
      <c r="G389" s="53"/>
      <c r="H389" s="52" t="e">
        <f t="shared" ref="H389:H452" si="21">G389*F389</f>
        <v>#REF!</v>
      </c>
      <c r="I389" s="54" t="e">
        <f t="shared" ref="I389:I452" si="22">H389/C389-1</f>
        <v>#REF!</v>
      </c>
      <c r="J389" s="48">
        <v>0</v>
      </c>
      <c r="K389" s="52">
        <f t="shared" si="20"/>
        <v>0</v>
      </c>
      <c r="L389" s="53"/>
      <c r="M389" s="53"/>
      <c r="N389" s="53"/>
      <c r="O389" s="53"/>
      <c r="P389" s="53"/>
      <c r="Q389" s="53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53"/>
      <c r="AG389" s="53"/>
      <c r="AH389" s="53"/>
    </row>
    <row r="390" spans="1:34" x14ac:dyDescent="0.25">
      <c r="A390" s="53"/>
      <c r="B390" s="53"/>
      <c r="C390" s="53"/>
      <c r="D390" s="53"/>
      <c r="E390" s="53" t="s">
        <v>12</v>
      </c>
      <c r="F390" s="53" t="e">
        <f>VLOOKUP(E390,'Price indx'!#REF!,3,FALSE)</f>
        <v>#REF!</v>
      </c>
      <c r="G390" s="53"/>
      <c r="H390" s="52" t="e">
        <f t="shared" si="21"/>
        <v>#REF!</v>
      </c>
      <c r="I390" s="54" t="e">
        <f t="shared" si="22"/>
        <v>#REF!</v>
      </c>
      <c r="J390" s="48">
        <v>0</v>
      </c>
      <c r="K390" s="52">
        <f t="shared" si="20"/>
        <v>0</v>
      </c>
      <c r="L390" s="53"/>
      <c r="M390" s="53"/>
      <c r="N390" s="53"/>
      <c r="O390" s="53"/>
      <c r="P390" s="53"/>
      <c r="Q390" s="53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53"/>
      <c r="AG390" s="53"/>
      <c r="AH390" s="53"/>
    </row>
    <row r="391" spans="1:34" x14ac:dyDescent="0.25">
      <c r="A391" s="53"/>
      <c r="B391" s="53"/>
      <c r="C391" s="53"/>
      <c r="D391" s="53"/>
      <c r="E391" s="53" t="s">
        <v>12</v>
      </c>
      <c r="F391" s="53" t="e">
        <f>VLOOKUP(E391,'Price indx'!#REF!,3,FALSE)</f>
        <v>#REF!</v>
      </c>
      <c r="G391" s="53"/>
      <c r="H391" s="52" t="e">
        <f t="shared" si="21"/>
        <v>#REF!</v>
      </c>
      <c r="I391" s="54" t="e">
        <f t="shared" si="22"/>
        <v>#REF!</v>
      </c>
      <c r="J391" s="48">
        <v>0</v>
      </c>
      <c r="K391" s="52">
        <f t="shared" si="20"/>
        <v>0</v>
      </c>
      <c r="L391" s="53"/>
      <c r="M391" s="53"/>
      <c r="N391" s="53"/>
      <c r="O391" s="53"/>
      <c r="P391" s="53"/>
      <c r="Q391" s="53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53"/>
      <c r="AG391" s="53"/>
      <c r="AH391" s="53"/>
    </row>
    <row r="392" spans="1:34" x14ac:dyDescent="0.25">
      <c r="A392" s="53"/>
      <c r="B392" s="53"/>
      <c r="C392" s="53"/>
      <c r="D392" s="53"/>
      <c r="E392" s="53" t="s">
        <v>12</v>
      </c>
      <c r="F392" s="53" t="e">
        <f>VLOOKUP(E392,'Price indx'!#REF!,3,FALSE)</f>
        <v>#REF!</v>
      </c>
      <c r="G392" s="53"/>
      <c r="H392" s="52" t="e">
        <f t="shared" si="21"/>
        <v>#REF!</v>
      </c>
      <c r="I392" s="54" t="e">
        <f t="shared" si="22"/>
        <v>#REF!</v>
      </c>
      <c r="J392" s="48">
        <v>0</v>
      </c>
      <c r="K392" s="52">
        <f t="shared" si="20"/>
        <v>0</v>
      </c>
      <c r="L392" s="53"/>
      <c r="M392" s="53"/>
      <c r="N392" s="53"/>
      <c r="O392" s="53"/>
      <c r="P392" s="53"/>
      <c r="Q392" s="53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53"/>
      <c r="AG392" s="53"/>
      <c r="AH392" s="53"/>
    </row>
    <row r="393" spans="1:34" x14ac:dyDescent="0.25">
      <c r="A393" s="53"/>
      <c r="B393" s="53"/>
      <c r="C393" s="53"/>
      <c r="D393" s="53"/>
      <c r="E393" s="53" t="s">
        <v>12</v>
      </c>
      <c r="F393" s="53" t="e">
        <f>VLOOKUP(E393,'Price indx'!#REF!,3,FALSE)</f>
        <v>#REF!</v>
      </c>
      <c r="G393" s="53"/>
      <c r="H393" s="52" t="e">
        <f t="shared" si="21"/>
        <v>#REF!</v>
      </c>
      <c r="I393" s="54" t="e">
        <f t="shared" si="22"/>
        <v>#REF!</v>
      </c>
      <c r="J393" s="48">
        <v>0</v>
      </c>
      <c r="K393" s="52">
        <f t="shared" si="20"/>
        <v>0</v>
      </c>
      <c r="L393" s="53"/>
      <c r="M393" s="53"/>
      <c r="N393" s="53"/>
      <c r="O393" s="53"/>
      <c r="P393" s="53"/>
      <c r="Q393" s="53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53"/>
      <c r="AG393" s="53"/>
      <c r="AH393" s="53"/>
    </row>
    <row r="394" spans="1:34" x14ac:dyDescent="0.25">
      <c r="A394" s="53"/>
      <c r="B394" s="53"/>
      <c r="C394" s="53"/>
      <c r="D394" s="53"/>
      <c r="E394" s="53" t="s">
        <v>12</v>
      </c>
      <c r="F394" s="53" t="e">
        <f>VLOOKUP(E394,'Price indx'!#REF!,3,FALSE)</f>
        <v>#REF!</v>
      </c>
      <c r="G394" s="53"/>
      <c r="H394" s="52" t="e">
        <f t="shared" si="21"/>
        <v>#REF!</v>
      </c>
      <c r="I394" s="54" t="e">
        <f t="shared" si="22"/>
        <v>#REF!</v>
      </c>
      <c r="J394" s="48">
        <v>0</v>
      </c>
      <c r="K394" s="52">
        <f t="shared" si="20"/>
        <v>0</v>
      </c>
      <c r="L394" s="53"/>
      <c r="M394" s="53"/>
      <c r="N394" s="53"/>
      <c r="O394" s="53"/>
      <c r="P394" s="53"/>
      <c r="Q394" s="53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53"/>
      <c r="AG394" s="53"/>
      <c r="AH394" s="53"/>
    </row>
    <row r="395" spans="1:34" x14ac:dyDescent="0.25">
      <c r="A395" s="53"/>
      <c r="B395" s="53"/>
      <c r="C395" s="53"/>
      <c r="D395" s="53"/>
      <c r="E395" s="53" t="s">
        <v>12</v>
      </c>
      <c r="F395" s="53" t="e">
        <f>VLOOKUP(E395,'Price indx'!#REF!,3,FALSE)</f>
        <v>#REF!</v>
      </c>
      <c r="G395" s="53"/>
      <c r="H395" s="52" t="e">
        <f t="shared" si="21"/>
        <v>#REF!</v>
      </c>
      <c r="I395" s="54" t="e">
        <f t="shared" si="22"/>
        <v>#REF!</v>
      </c>
      <c r="J395" s="48">
        <v>0</v>
      </c>
      <c r="K395" s="52">
        <f t="shared" si="20"/>
        <v>0</v>
      </c>
      <c r="L395" s="53"/>
      <c r="M395" s="53"/>
      <c r="N395" s="53"/>
      <c r="O395" s="53"/>
      <c r="P395" s="53"/>
      <c r="Q395" s="53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53"/>
      <c r="AG395" s="53"/>
      <c r="AH395" s="53"/>
    </row>
    <row r="396" spans="1:34" x14ac:dyDescent="0.25">
      <c r="A396" s="53"/>
      <c r="B396" s="53"/>
      <c r="C396" s="53"/>
      <c r="D396" s="53"/>
      <c r="E396" s="53" t="s">
        <v>12</v>
      </c>
      <c r="F396" s="53" t="e">
        <f>VLOOKUP(E396,'Price indx'!#REF!,3,FALSE)</f>
        <v>#REF!</v>
      </c>
      <c r="G396" s="53"/>
      <c r="H396" s="52" t="e">
        <f t="shared" si="21"/>
        <v>#REF!</v>
      </c>
      <c r="I396" s="54" t="e">
        <f t="shared" si="22"/>
        <v>#REF!</v>
      </c>
      <c r="J396" s="48">
        <v>0</v>
      </c>
      <c r="K396" s="52">
        <f t="shared" si="20"/>
        <v>0</v>
      </c>
      <c r="L396" s="53"/>
      <c r="M396" s="53"/>
      <c r="N396" s="53"/>
      <c r="O396" s="53"/>
      <c r="P396" s="53"/>
      <c r="Q396" s="53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53"/>
      <c r="AG396" s="53"/>
      <c r="AH396" s="53"/>
    </row>
    <row r="397" spans="1:34" x14ac:dyDescent="0.25">
      <c r="A397" s="53"/>
      <c r="B397" s="53"/>
      <c r="C397" s="53"/>
      <c r="D397" s="53"/>
      <c r="E397" s="53" t="s">
        <v>12</v>
      </c>
      <c r="F397" s="53" t="e">
        <f>VLOOKUP(E397,'Price indx'!#REF!,3,FALSE)</f>
        <v>#REF!</v>
      </c>
      <c r="G397" s="53"/>
      <c r="H397" s="52" t="e">
        <f t="shared" si="21"/>
        <v>#REF!</v>
      </c>
      <c r="I397" s="54" t="e">
        <f t="shared" si="22"/>
        <v>#REF!</v>
      </c>
      <c r="J397" s="48">
        <v>0</v>
      </c>
      <c r="K397" s="52">
        <f t="shared" si="20"/>
        <v>0</v>
      </c>
      <c r="L397" s="53"/>
      <c r="M397" s="53"/>
      <c r="N397" s="53"/>
      <c r="O397" s="53"/>
      <c r="P397" s="53"/>
      <c r="Q397" s="53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53"/>
      <c r="AG397" s="53"/>
      <c r="AH397" s="53"/>
    </row>
    <row r="398" spans="1:34" x14ac:dyDescent="0.25">
      <c r="A398" s="53"/>
      <c r="B398" s="53"/>
      <c r="C398" s="53"/>
      <c r="D398" s="53"/>
      <c r="E398" s="53" t="s">
        <v>12</v>
      </c>
      <c r="F398" s="53" t="e">
        <f>VLOOKUP(E398,'Price indx'!#REF!,3,FALSE)</f>
        <v>#REF!</v>
      </c>
      <c r="G398" s="53"/>
      <c r="H398" s="52" t="e">
        <f t="shared" si="21"/>
        <v>#REF!</v>
      </c>
      <c r="I398" s="54" t="e">
        <f t="shared" si="22"/>
        <v>#REF!</v>
      </c>
      <c r="J398" s="48">
        <v>0</v>
      </c>
      <c r="K398" s="52">
        <f t="shared" si="20"/>
        <v>0</v>
      </c>
      <c r="L398" s="53"/>
      <c r="M398" s="53"/>
      <c r="N398" s="53"/>
      <c r="O398" s="53"/>
      <c r="P398" s="53"/>
      <c r="Q398" s="53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53"/>
      <c r="AG398" s="53"/>
      <c r="AH398" s="53"/>
    </row>
    <row r="399" spans="1:34" x14ac:dyDescent="0.25">
      <c r="A399" s="53"/>
      <c r="B399" s="53"/>
      <c r="C399" s="53"/>
      <c r="D399" s="53"/>
      <c r="E399" s="53" t="s">
        <v>12</v>
      </c>
      <c r="F399" s="53" t="e">
        <f>VLOOKUP(E399,'Price indx'!#REF!,3,FALSE)</f>
        <v>#REF!</v>
      </c>
      <c r="G399" s="53"/>
      <c r="H399" s="52" t="e">
        <f t="shared" si="21"/>
        <v>#REF!</v>
      </c>
      <c r="I399" s="54" t="e">
        <f t="shared" si="22"/>
        <v>#REF!</v>
      </c>
      <c r="J399" s="48">
        <v>0</v>
      </c>
      <c r="K399" s="52">
        <f t="shared" si="20"/>
        <v>0</v>
      </c>
      <c r="L399" s="53"/>
      <c r="M399" s="53"/>
      <c r="N399" s="53"/>
      <c r="O399" s="53"/>
      <c r="P399" s="53"/>
      <c r="Q399" s="53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53"/>
      <c r="AG399" s="53"/>
      <c r="AH399" s="53"/>
    </row>
    <row r="400" spans="1:34" x14ac:dyDescent="0.25">
      <c r="A400" s="53"/>
      <c r="B400" s="53"/>
      <c r="C400" s="53"/>
      <c r="D400" s="53"/>
      <c r="E400" s="53" t="s">
        <v>12</v>
      </c>
      <c r="F400" s="53" t="e">
        <f>VLOOKUP(E400,'Price indx'!#REF!,3,FALSE)</f>
        <v>#REF!</v>
      </c>
      <c r="G400" s="53"/>
      <c r="H400" s="52" t="e">
        <f t="shared" si="21"/>
        <v>#REF!</v>
      </c>
      <c r="I400" s="54" t="e">
        <f t="shared" si="22"/>
        <v>#REF!</v>
      </c>
      <c r="J400" s="48">
        <v>0</v>
      </c>
      <c r="K400" s="52">
        <f t="shared" si="20"/>
        <v>0</v>
      </c>
      <c r="L400" s="53"/>
      <c r="M400" s="53"/>
      <c r="N400" s="53"/>
      <c r="O400" s="53"/>
      <c r="P400" s="53"/>
      <c r="Q400" s="53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53"/>
      <c r="AG400" s="53"/>
      <c r="AH400" s="53"/>
    </row>
    <row r="401" spans="1:34" x14ac:dyDescent="0.25">
      <c r="A401" s="53"/>
      <c r="B401" s="53"/>
      <c r="C401" s="53"/>
      <c r="D401" s="53"/>
      <c r="E401" s="53" t="s">
        <v>12</v>
      </c>
      <c r="F401" s="53" t="e">
        <f>VLOOKUP(E401,'Price indx'!#REF!,3,FALSE)</f>
        <v>#REF!</v>
      </c>
      <c r="G401" s="53"/>
      <c r="H401" s="52" t="e">
        <f t="shared" si="21"/>
        <v>#REF!</v>
      </c>
      <c r="I401" s="54" t="e">
        <f t="shared" si="22"/>
        <v>#REF!</v>
      </c>
      <c r="J401" s="48">
        <v>0</v>
      </c>
      <c r="K401" s="52">
        <f t="shared" si="20"/>
        <v>0</v>
      </c>
      <c r="L401" s="53"/>
      <c r="M401" s="53"/>
      <c r="N401" s="53"/>
      <c r="O401" s="53"/>
      <c r="P401" s="53"/>
      <c r="Q401" s="53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53"/>
      <c r="AG401" s="53"/>
      <c r="AH401" s="53"/>
    </row>
    <row r="402" spans="1:34" x14ac:dyDescent="0.25">
      <c r="A402" s="53"/>
      <c r="B402" s="53"/>
      <c r="C402" s="53"/>
      <c r="D402" s="53"/>
      <c r="E402" s="53" t="s">
        <v>12</v>
      </c>
      <c r="F402" s="53" t="e">
        <f>VLOOKUP(E402,'Price indx'!#REF!,3,FALSE)</f>
        <v>#REF!</v>
      </c>
      <c r="G402" s="53"/>
      <c r="H402" s="52" t="e">
        <f t="shared" si="21"/>
        <v>#REF!</v>
      </c>
      <c r="I402" s="54" t="e">
        <f t="shared" si="22"/>
        <v>#REF!</v>
      </c>
      <c r="J402" s="48">
        <v>0</v>
      </c>
      <c r="K402" s="52">
        <f t="shared" si="20"/>
        <v>0</v>
      </c>
      <c r="L402" s="53"/>
      <c r="M402" s="53"/>
      <c r="N402" s="53"/>
      <c r="O402" s="53"/>
      <c r="P402" s="53"/>
      <c r="Q402" s="53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53"/>
      <c r="AG402" s="53"/>
      <c r="AH402" s="53"/>
    </row>
    <row r="403" spans="1:34" x14ac:dyDescent="0.25">
      <c r="A403" s="53"/>
      <c r="B403" s="53"/>
      <c r="C403" s="53"/>
      <c r="D403" s="53"/>
      <c r="E403" s="53" t="s">
        <v>12</v>
      </c>
      <c r="F403" s="53" t="e">
        <f>VLOOKUP(E403,'Price indx'!#REF!,3,FALSE)</f>
        <v>#REF!</v>
      </c>
      <c r="G403" s="53"/>
      <c r="H403" s="52" t="e">
        <f t="shared" si="21"/>
        <v>#REF!</v>
      </c>
      <c r="I403" s="54" t="e">
        <f t="shared" si="22"/>
        <v>#REF!</v>
      </c>
      <c r="J403" s="48">
        <v>0</v>
      </c>
      <c r="K403" s="52">
        <f t="shared" si="20"/>
        <v>0</v>
      </c>
      <c r="L403" s="53"/>
      <c r="M403" s="53"/>
      <c r="N403" s="53"/>
      <c r="O403" s="53"/>
      <c r="P403" s="53"/>
      <c r="Q403" s="53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53"/>
      <c r="AG403" s="53"/>
      <c r="AH403" s="53"/>
    </row>
    <row r="404" spans="1:34" x14ac:dyDescent="0.25">
      <c r="A404" s="53"/>
      <c r="B404" s="53"/>
      <c r="C404" s="53"/>
      <c r="D404" s="53"/>
      <c r="E404" s="53" t="s">
        <v>12</v>
      </c>
      <c r="F404" s="53" t="e">
        <f>VLOOKUP(E404,'Price indx'!#REF!,3,FALSE)</f>
        <v>#REF!</v>
      </c>
      <c r="G404" s="53"/>
      <c r="H404" s="52" t="e">
        <f t="shared" si="21"/>
        <v>#REF!</v>
      </c>
      <c r="I404" s="54" t="e">
        <f t="shared" si="22"/>
        <v>#REF!</v>
      </c>
      <c r="J404" s="48">
        <v>0</v>
      </c>
      <c r="K404" s="52">
        <f t="shared" si="20"/>
        <v>0</v>
      </c>
      <c r="L404" s="53"/>
      <c r="M404" s="53"/>
      <c r="N404" s="53"/>
      <c r="O404" s="53"/>
      <c r="P404" s="53"/>
      <c r="Q404" s="53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53"/>
      <c r="AG404" s="53"/>
      <c r="AH404" s="53"/>
    </row>
    <row r="405" spans="1:34" x14ac:dyDescent="0.25">
      <c r="A405" s="53"/>
      <c r="B405" s="53"/>
      <c r="C405" s="53"/>
      <c r="D405" s="53"/>
      <c r="E405" s="53" t="s">
        <v>12</v>
      </c>
      <c r="F405" s="53" t="e">
        <f>VLOOKUP(E405,'Price indx'!#REF!,3,FALSE)</f>
        <v>#REF!</v>
      </c>
      <c r="G405" s="53"/>
      <c r="H405" s="52" t="e">
        <f t="shared" si="21"/>
        <v>#REF!</v>
      </c>
      <c r="I405" s="54" t="e">
        <f t="shared" si="22"/>
        <v>#REF!</v>
      </c>
      <c r="J405" s="48">
        <v>0</v>
      </c>
      <c r="K405" s="52">
        <f t="shared" si="20"/>
        <v>0</v>
      </c>
      <c r="L405" s="53"/>
      <c r="M405" s="53"/>
      <c r="N405" s="53"/>
      <c r="O405" s="53"/>
      <c r="P405" s="53"/>
      <c r="Q405" s="53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53"/>
      <c r="AG405" s="53"/>
      <c r="AH405" s="53"/>
    </row>
    <row r="406" spans="1:34" x14ac:dyDescent="0.25">
      <c r="A406" s="53"/>
      <c r="B406" s="53"/>
      <c r="C406" s="53"/>
      <c r="D406" s="53"/>
      <c r="E406" s="53" t="s">
        <v>12</v>
      </c>
      <c r="F406" s="53" t="e">
        <f>VLOOKUP(E406,'Price indx'!#REF!,3,FALSE)</f>
        <v>#REF!</v>
      </c>
      <c r="G406" s="53"/>
      <c r="H406" s="52" t="e">
        <f t="shared" si="21"/>
        <v>#REF!</v>
      </c>
      <c r="I406" s="54" t="e">
        <f t="shared" si="22"/>
        <v>#REF!</v>
      </c>
      <c r="J406" s="48">
        <v>0</v>
      </c>
      <c r="K406" s="52">
        <f t="shared" si="20"/>
        <v>0</v>
      </c>
      <c r="L406" s="53"/>
      <c r="M406" s="53"/>
      <c r="N406" s="53"/>
      <c r="O406" s="53"/>
      <c r="P406" s="53"/>
      <c r="Q406" s="53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53"/>
      <c r="AG406" s="53"/>
      <c r="AH406" s="53"/>
    </row>
    <row r="407" spans="1:34" x14ac:dyDescent="0.25">
      <c r="A407" s="53"/>
      <c r="B407" s="53"/>
      <c r="C407" s="53"/>
      <c r="D407" s="53"/>
      <c r="E407" s="53" t="s">
        <v>12</v>
      </c>
      <c r="F407" s="53" t="e">
        <f>VLOOKUP(E407,'Price indx'!#REF!,3,FALSE)</f>
        <v>#REF!</v>
      </c>
      <c r="G407" s="53"/>
      <c r="H407" s="52" t="e">
        <f t="shared" si="21"/>
        <v>#REF!</v>
      </c>
      <c r="I407" s="54" t="e">
        <f t="shared" si="22"/>
        <v>#REF!</v>
      </c>
      <c r="J407" s="48">
        <v>0</v>
      </c>
      <c r="K407" s="52">
        <f t="shared" si="20"/>
        <v>0</v>
      </c>
      <c r="L407" s="53"/>
      <c r="M407" s="53"/>
      <c r="N407" s="53"/>
      <c r="O407" s="53"/>
      <c r="P407" s="53"/>
      <c r="Q407" s="53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53"/>
      <c r="AG407" s="53"/>
      <c r="AH407" s="53"/>
    </row>
    <row r="408" spans="1:34" x14ac:dyDescent="0.25">
      <c r="A408" s="53"/>
      <c r="B408" s="53"/>
      <c r="C408" s="53"/>
      <c r="D408" s="53"/>
      <c r="E408" s="53" t="s">
        <v>12</v>
      </c>
      <c r="F408" s="53" t="e">
        <f>VLOOKUP(E408,'Price indx'!#REF!,3,FALSE)</f>
        <v>#REF!</v>
      </c>
      <c r="G408" s="53"/>
      <c r="H408" s="52" t="e">
        <f t="shared" si="21"/>
        <v>#REF!</v>
      </c>
      <c r="I408" s="54" t="e">
        <f t="shared" si="22"/>
        <v>#REF!</v>
      </c>
      <c r="J408" s="48">
        <v>0</v>
      </c>
      <c r="K408" s="52">
        <f t="shared" si="20"/>
        <v>0</v>
      </c>
      <c r="L408" s="53"/>
      <c r="M408" s="53"/>
      <c r="N408" s="53"/>
      <c r="O408" s="53"/>
      <c r="P408" s="53"/>
      <c r="Q408" s="53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53"/>
      <c r="AG408" s="53"/>
      <c r="AH408" s="53"/>
    </row>
    <row r="409" spans="1:34" x14ac:dyDescent="0.25">
      <c r="A409" s="53"/>
      <c r="B409" s="53"/>
      <c r="C409" s="53"/>
      <c r="D409" s="53"/>
      <c r="E409" s="53" t="s">
        <v>12</v>
      </c>
      <c r="F409" s="53" t="e">
        <f>VLOOKUP(E409,'Price indx'!#REF!,3,FALSE)</f>
        <v>#REF!</v>
      </c>
      <c r="G409" s="53"/>
      <c r="H409" s="52" t="e">
        <f t="shared" si="21"/>
        <v>#REF!</v>
      </c>
      <c r="I409" s="54" t="e">
        <f t="shared" si="22"/>
        <v>#REF!</v>
      </c>
      <c r="J409" s="48">
        <v>0</v>
      </c>
      <c r="K409" s="52">
        <f t="shared" si="20"/>
        <v>0</v>
      </c>
      <c r="L409" s="53"/>
      <c r="M409" s="53"/>
      <c r="N409" s="53"/>
      <c r="O409" s="53"/>
      <c r="P409" s="53"/>
      <c r="Q409" s="53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53"/>
      <c r="AG409" s="53"/>
      <c r="AH409" s="53"/>
    </row>
    <row r="410" spans="1:34" x14ac:dyDescent="0.25">
      <c r="A410" s="53"/>
      <c r="B410" s="53"/>
      <c r="C410" s="53"/>
      <c r="D410" s="53"/>
      <c r="E410" s="53" t="s">
        <v>12</v>
      </c>
      <c r="F410" s="53" t="e">
        <f>VLOOKUP(E410,'Price indx'!#REF!,3,FALSE)</f>
        <v>#REF!</v>
      </c>
      <c r="G410" s="53"/>
      <c r="H410" s="52" t="e">
        <f t="shared" si="21"/>
        <v>#REF!</v>
      </c>
      <c r="I410" s="54" t="e">
        <f t="shared" si="22"/>
        <v>#REF!</v>
      </c>
      <c r="J410" s="48">
        <v>0</v>
      </c>
      <c r="K410" s="52">
        <f t="shared" si="20"/>
        <v>0</v>
      </c>
      <c r="L410" s="53"/>
      <c r="M410" s="53"/>
      <c r="N410" s="53"/>
      <c r="O410" s="53"/>
      <c r="P410" s="53"/>
      <c r="Q410" s="53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53"/>
      <c r="AG410" s="53"/>
      <c r="AH410" s="53"/>
    </row>
    <row r="411" spans="1:34" x14ac:dyDescent="0.25">
      <c r="A411" s="53"/>
      <c r="B411" s="53"/>
      <c r="C411" s="53"/>
      <c r="D411" s="53"/>
      <c r="E411" s="53" t="s">
        <v>12</v>
      </c>
      <c r="F411" s="53" t="e">
        <f>VLOOKUP(E411,'Price indx'!#REF!,3,FALSE)</f>
        <v>#REF!</v>
      </c>
      <c r="G411" s="53"/>
      <c r="H411" s="52" t="e">
        <f t="shared" si="21"/>
        <v>#REF!</v>
      </c>
      <c r="I411" s="54" t="e">
        <f t="shared" si="22"/>
        <v>#REF!</v>
      </c>
      <c r="J411" s="48">
        <v>0</v>
      </c>
      <c r="K411" s="52">
        <f t="shared" si="20"/>
        <v>0</v>
      </c>
      <c r="L411" s="53"/>
      <c r="M411" s="53"/>
      <c r="N411" s="53"/>
      <c r="O411" s="53"/>
      <c r="P411" s="53"/>
      <c r="Q411" s="53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53"/>
      <c r="AG411" s="53"/>
      <c r="AH411" s="53"/>
    </row>
    <row r="412" spans="1:34" x14ac:dyDescent="0.25">
      <c r="A412" s="53"/>
      <c r="B412" s="53"/>
      <c r="C412" s="53"/>
      <c r="D412" s="53"/>
      <c r="E412" s="53" t="s">
        <v>12</v>
      </c>
      <c r="F412" s="53" t="e">
        <f>VLOOKUP(E412,'Price indx'!#REF!,3,FALSE)</f>
        <v>#REF!</v>
      </c>
      <c r="G412" s="53"/>
      <c r="H412" s="52" t="e">
        <f t="shared" si="21"/>
        <v>#REF!</v>
      </c>
      <c r="I412" s="54" t="e">
        <f t="shared" si="22"/>
        <v>#REF!</v>
      </c>
      <c r="J412" s="48">
        <v>0</v>
      </c>
      <c r="K412" s="52">
        <f t="shared" si="20"/>
        <v>0</v>
      </c>
      <c r="L412" s="53"/>
      <c r="M412" s="53"/>
      <c r="N412" s="53"/>
      <c r="O412" s="53"/>
      <c r="P412" s="53"/>
      <c r="Q412" s="53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53"/>
      <c r="AG412" s="53"/>
      <c r="AH412" s="53"/>
    </row>
    <row r="413" spans="1:34" x14ac:dyDescent="0.25">
      <c r="A413" s="53"/>
      <c r="B413" s="53"/>
      <c r="C413" s="53"/>
      <c r="D413" s="53"/>
      <c r="E413" s="53" t="s">
        <v>12</v>
      </c>
      <c r="F413" s="53" t="e">
        <f>VLOOKUP(E413,'Price indx'!#REF!,3,FALSE)</f>
        <v>#REF!</v>
      </c>
      <c r="G413" s="53"/>
      <c r="H413" s="52" t="e">
        <f t="shared" si="21"/>
        <v>#REF!</v>
      </c>
      <c r="I413" s="54" t="e">
        <f t="shared" si="22"/>
        <v>#REF!</v>
      </c>
      <c r="J413" s="48">
        <v>0</v>
      </c>
      <c r="K413" s="52">
        <f t="shared" si="20"/>
        <v>0</v>
      </c>
      <c r="L413" s="53"/>
      <c r="M413" s="53"/>
      <c r="N413" s="53"/>
      <c r="O413" s="53"/>
      <c r="P413" s="53"/>
      <c r="Q413" s="53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53"/>
      <c r="AG413" s="53"/>
      <c r="AH413" s="53"/>
    </row>
    <row r="414" spans="1:34" x14ac:dyDescent="0.25">
      <c r="A414" s="53"/>
      <c r="B414" s="53"/>
      <c r="C414" s="53"/>
      <c r="D414" s="53"/>
      <c r="E414" s="53" t="s">
        <v>12</v>
      </c>
      <c r="F414" s="53" t="e">
        <f>VLOOKUP(E414,'Price indx'!#REF!,3,FALSE)</f>
        <v>#REF!</v>
      </c>
      <c r="G414" s="53"/>
      <c r="H414" s="52" t="e">
        <f t="shared" si="21"/>
        <v>#REF!</v>
      </c>
      <c r="I414" s="54" t="e">
        <f t="shared" si="22"/>
        <v>#REF!</v>
      </c>
      <c r="J414" s="48">
        <v>0</v>
      </c>
      <c r="K414" s="52">
        <f t="shared" si="20"/>
        <v>0</v>
      </c>
      <c r="L414" s="53"/>
      <c r="M414" s="53"/>
      <c r="N414" s="53"/>
      <c r="O414" s="53"/>
      <c r="P414" s="53"/>
      <c r="Q414" s="53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53"/>
      <c r="AG414" s="53"/>
      <c r="AH414" s="53"/>
    </row>
    <row r="415" spans="1:34" x14ac:dyDescent="0.25">
      <c r="A415" s="53"/>
      <c r="B415" s="53"/>
      <c r="C415" s="53"/>
      <c r="D415" s="53"/>
      <c r="E415" s="53" t="s">
        <v>12</v>
      </c>
      <c r="F415" s="53" t="e">
        <f>VLOOKUP(E415,'Price indx'!#REF!,3,FALSE)</f>
        <v>#REF!</v>
      </c>
      <c r="G415" s="53"/>
      <c r="H415" s="52" t="e">
        <f t="shared" si="21"/>
        <v>#REF!</v>
      </c>
      <c r="I415" s="54" t="e">
        <f t="shared" si="22"/>
        <v>#REF!</v>
      </c>
      <c r="J415" s="48">
        <v>0</v>
      </c>
      <c r="K415" s="52">
        <f t="shared" si="20"/>
        <v>0</v>
      </c>
      <c r="L415" s="53"/>
      <c r="M415" s="53"/>
      <c r="N415" s="53"/>
      <c r="O415" s="53"/>
      <c r="P415" s="53"/>
      <c r="Q415" s="53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53"/>
      <c r="AG415" s="53"/>
      <c r="AH415" s="53"/>
    </row>
    <row r="416" spans="1:34" x14ac:dyDescent="0.25">
      <c r="A416" s="53"/>
      <c r="B416" s="53"/>
      <c r="C416" s="53"/>
      <c r="D416" s="53"/>
      <c r="E416" s="53" t="s">
        <v>12</v>
      </c>
      <c r="F416" s="53" t="e">
        <f>VLOOKUP(E416,'Price indx'!#REF!,3,FALSE)</f>
        <v>#REF!</v>
      </c>
      <c r="G416" s="53"/>
      <c r="H416" s="52" t="e">
        <f t="shared" si="21"/>
        <v>#REF!</v>
      </c>
      <c r="I416" s="54" t="e">
        <f t="shared" si="22"/>
        <v>#REF!</v>
      </c>
      <c r="J416" s="48">
        <v>0</v>
      </c>
      <c r="K416" s="52">
        <f t="shared" si="20"/>
        <v>0</v>
      </c>
      <c r="L416" s="53"/>
      <c r="M416" s="53"/>
      <c r="N416" s="53"/>
      <c r="O416" s="53"/>
      <c r="P416" s="53"/>
      <c r="Q416" s="53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53"/>
      <c r="AG416" s="53"/>
      <c r="AH416" s="53"/>
    </row>
    <row r="417" spans="1:34" x14ac:dyDescent="0.25">
      <c r="A417" s="53"/>
      <c r="B417" s="53"/>
      <c r="C417" s="53"/>
      <c r="D417" s="53"/>
      <c r="E417" s="53" t="s">
        <v>12</v>
      </c>
      <c r="F417" s="53" t="e">
        <f>VLOOKUP(E417,'Price indx'!#REF!,3,FALSE)</f>
        <v>#REF!</v>
      </c>
      <c r="G417" s="53"/>
      <c r="H417" s="52" t="e">
        <f t="shared" si="21"/>
        <v>#REF!</v>
      </c>
      <c r="I417" s="54" t="e">
        <f t="shared" si="22"/>
        <v>#REF!</v>
      </c>
      <c r="J417" s="48">
        <v>0</v>
      </c>
      <c r="K417" s="52">
        <f t="shared" si="20"/>
        <v>0</v>
      </c>
      <c r="L417" s="53"/>
      <c r="M417" s="53"/>
      <c r="N417" s="53"/>
      <c r="O417" s="53"/>
      <c r="P417" s="53"/>
      <c r="Q417" s="53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53"/>
      <c r="AG417" s="53"/>
      <c r="AH417" s="53"/>
    </row>
    <row r="418" spans="1:34" x14ac:dyDescent="0.25">
      <c r="A418" s="53"/>
      <c r="B418" s="53"/>
      <c r="C418" s="53"/>
      <c r="D418" s="53"/>
      <c r="E418" s="53" t="s">
        <v>12</v>
      </c>
      <c r="F418" s="53" t="e">
        <f>VLOOKUP(E418,'Price indx'!#REF!,3,FALSE)</f>
        <v>#REF!</v>
      </c>
      <c r="G418" s="53"/>
      <c r="H418" s="52" t="e">
        <f t="shared" si="21"/>
        <v>#REF!</v>
      </c>
      <c r="I418" s="54" t="e">
        <f t="shared" si="22"/>
        <v>#REF!</v>
      </c>
      <c r="J418" s="48">
        <v>0</v>
      </c>
      <c r="K418" s="52">
        <f t="shared" si="20"/>
        <v>0</v>
      </c>
      <c r="L418" s="53"/>
      <c r="M418" s="53"/>
      <c r="N418" s="53"/>
      <c r="O418" s="53"/>
      <c r="P418" s="53"/>
      <c r="Q418" s="53"/>
      <c r="R418" s="53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53"/>
      <c r="AG418" s="53"/>
      <c r="AH418" s="53"/>
    </row>
    <row r="419" spans="1:34" x14ac:dyDescent="0.25">
      <c r="A419" s="53"/>
      <c r="B419" s="53"/>
      <c r="C419" s="53"/>
      <c r="D419" s="53"/>
      <c r="E419" s="53" t="s">
        <v>12</v>
      </c>
      <c r="F419" s="53" t="e">
        <f>VLOOKUP(E419,'Price indx'!#REF!,3,FALSE)</f>
        <v>#REF!</v>
      </c>
      <c r="G419" s="53"/>
      <c r="H419" s="52" t="e">
        <f t="shared" si="21"/>
        <v>#REF!</v>
      </c>
      <c r="I419" s="54" t="e">
        <f t="shared" si="22"/>
        <v>#REF!</v>
      </c>
      <c r="J419" s="48">
        <v>0</v>
      </c>
      <c r="K419" s="52">
        <f t="shared" si="20"/>
        <v>0</v>
      </c>
      <c r="L419" s="53"/>
      <c r="M419" s="53"/>
      <c r="N419" s="53"/>
      <c r="O419" s="53"/>
      <c r="P419" s="53"/>
      <c r="Q419" s="53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53"/>
      <c r="AG419" s="53"/>
      <c r="AH419" s="53"/>
    </row>
    <row r="420" spans="1:34" x14ac:dyDescent="0.25">
      <c r="A420" s="53"/>
      <c r="B420" s="53"/>
      <c r="C420" s="53"/>
      <c r="D420" s="53"/>
      <c r="E420" s="53" t="s">
        <v>12</v>
      </c>
      <c r="F420" s="53" t="e">
        <f>VLOOKUP(E420,'Price indx'!#REF!,3,FALSE)</f>
        <v>#REF!</v>
      </c>
      <c r="G420" s="53"/>
      <c r="H420" s="52" t="e">
        <f t="shared" si="21"/>
        <v>#REF!</v>
      </c>
      <c r="I420" s="54" t="e">
        <f t="shared" si="22"/>
        <v>#REF!</v>
      </c>
      <c r="J420" s="48">
        <v>0</v>
      </c>
      <c r="K420" s="52">
        <f t="shared" si="20"/>
        <v>0</v>
      </c>
      <c r="L420" s="53"/>
      <c r="M420" s="53"/>
      <c r="N420" s="53"/>
      <c r="O420" s="53"/>
      <c r="P420" s="53"/>
      <c r="Q420" s="53"/>
      <c r="R420" s="53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53"/>
      <c r="AG420" s="53"/>
      <c r="AH420" s="53"/>
    </row>
    <row r="421" spans="1:34" x14ac:dyDescent="0.25">
      <c r="A421" s="53"/>
      <c r="B421" s="53"/>
      <c r="C421" s="53"/>
      <c r="D421" s="53"/>
      <c r="E421" s="53" t="s">
        <v>12</v>
      </c>
      <c r="F421" s="53" t="e">
        <f>VLOOKUP(E421,'Price indx'!#REF!,3,FALSE)</f>
        <v>#REF!</v>
      </c>
      <c r="G421" s="53"/>
      <c r="H421" s="52" t="e">
        <f t="shared" si="21"/>
        <v>#REF!</v>
      </c>
      <c r="I421" s="54" t="e">
        <f t="shared" si="22"/>
        <v>#REF!</v>
      </c>
      <c r="J421" s="48">
        <v>0</v>
      </c>
      <c r="K421" s="52">
        <f t="shared" si="20"/>
        <v>0</v>
      </c>
      <c r="L421" s="53"/>
      <c r="M421" s="53"/>
      <c r="N421" s="53"/>
      <c r="O421" s="53"/>
      <c r="P421" s="53"/>
      <c r="Q421" s="53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53"/>
      <c r="AG421" s="53"/>
      <c r="AH421" s="53"/>
    </row>
    <row r="422" spans="1:34" x14ac:dyDescent="0.25">
      <c r="A422" s="53"/>
      <c r="B422" s="53"/>
      <c r="C422" s="53"/>
      <c r="D422" s="53"/>
      <c r="E422" s="53" t="s">
        <v>12</v>
      </c>
      <c r="F422" s="53" t="e">
        <f>VLOOKUP(E422,'Price indx'!#REF!,3,FALSE)</f>
        <v>#REF!</v>
      </c>
      <c r="G422" s="53"/>
      <c r="H422" s="52" t="e">
        <f t="shared" si="21"/>
        <v>#REF!</v>
      </c>
      <c r="I422" s="54" t="e">
        <f t="shared" si="22"/>
        <v>#REF!</v>
      </c>
      <c r="J422" s="48">
        <v>0</v>
      </c>
      <c r="K422" s="52">
        <f t="shared" si="20"/>
        <v>0</v>
      </c>
      <c r="L422" s="53"/>
      <c r="M422" s="53"/>
      <c r="N422" s="53"/>
      <c r="O422" s="53"/>
      <c r="P422" s="53"/>
      <c r="Q422" s="53"/>
      <c r="R422" s="53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53"/>
      <c r="AG422" s="53"/>
      <c r="AH422" s="53"/>
    </row>
    <row r="423" spans="1:34" x14ac:dyDescent="0.25">
      <c r="A423" s="53"/>
      <c r="B423" s="53"/>
      <c r="C423" s="53"/>
      <c r="D423" s="53"/>
      <c r="E423" s="53" t="s">
        <v>12</v>
      </c>
      <c r="F423" s="53" t="e">
        <f>VLOOKUP(E423,'Price indx'!#REF!,3,FALSE)</f>
        <v>#REF!</v>
      </c>
      <c r="G423" s="53"/>
      <c r="H423" s="52" t="e">
        <f t="shared" si="21"/>
        <v>#REF!</v>
      </c>
      <c r="I423" s="54" t="e">
        <f t="shared" si="22"/>
        <v>#REF!</v>
      </c>
      <c r="J423" s="48">
        <v>0</v>
      </c>
      <c r="K423" s="52">
        <f t="shared" si="20"/>
        <v>0</v>
      </c>
      <c r="L423" s="53"/>
      <c r="M423" s="53"/>
      <c r="N423" s="53"/>
      <c r="O423" s="53"/>
      <c r="P423" s="53"/>
      <c r="Q423" s="53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53"/>
      <c r="AG423" s="53"/>
      <c r="AH423" s="53"/>
    </row>
    <row r="424" spans="1:34" x14ac:dyDescent="0.25">
      <c r="A424" s="53"/>
      <c r="B424" s="53"/>
      <c r="C424" s="53"/>
      <c r="D424" s="53"/>
      <c r="E424" s="53" t="s">
        <v>12</v>
      </c>
      <c r="F424" s="53" t="e">
        <f>VLOOKUP(E424,'Price indx'!#REF!,3,FALSE)</f>
        <v>#REF!</v>
      </c>
      <c r="G424" s="53"/>
      <c r="H424" s="52" t="e">
        <f t="shared" si="21"/>
        <v>#REF!</v>
      </c>
      <c r="I424" s="54" t="e">
        <f t="shared" si="22"/>
        <v>#REF!</v>
      </c>
      <c r="J424" s="48">
        <v>0</v>
      </c>
      <c r="K424" s="52">
        <f t="shared" si="20"/>
        <v>0</v>
      </c>
      <c r="L424" s="53"/>
      <c r="M424" s="53"/>
      <c r="N424" s="53"/>
      <c r="O424" s="53"/>
      <c r="P424" s="53"/>
      <c r="Q424" s="53"/>
      <c r="R424" s="53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53"/>
      <c r="AG424" s="53"/>
      <c r="AH424" s="53"/>
    </row>
    <row r="425" spans="1:34" x14ac:dyDescent="0.25">
      <c r="A425" s="53"/>
      <c r="B425" s="53"/>
      <c r="C425" s="53"/>
      <c r="D425" s="53"/>
      <c r="E425" s="53" t="s">
        <v>12</v>
      </c>
      <c r="F425" s="53" t="e">
        <f>VLOOKUP(E425,'Price indx'!#REF!,3,FALSE)</f>
        <v>#REF!</v>
      </c>
      <c r="G425" s="53"/>
      <c r="H425" s="52" t="e">
        <f t="shared" si="21"/>
        <v>#REF!</v>
      </c>
      <c r="I425" s="54" t="e">
        <f t="shared" si="22"/>
        <v>#REF!</v>
      </c>
      <c r="J425" s="48">
        <v>0</v>
      </c>
      <c r="K425" s="52">
        <f t="shared" si="20"/>
        <v>0</v>
      </c>
      <c r="L425" s="53"/>
      <c r="M425" s="53"/>
      <c r="N425" s="53"/>
      <c r="O425" s="53"/>
      <c r="P425" s="53"/>
      <c r="Q425" s="53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53"/>
      <c r="AG425" s="53"/>
      <c r="AH425" s="53"/>
    </row>
    <row r="426" spans="1:34" x14ac:dyDescent="0.25">
      <c r="A426" s="53"/>
      <c r="B426" s="53"/>
      <c r="C426" s="53"/>
      <c r="D426" s="53"/>
      <c r="E426" s="53" t="s">
        <v>12</v>
      </c>
      <c r="F426" s="53" t="e">
        <f>VLOOKUP(E426,'Price indx'!#REF!,3,FALSE)</f>
        <v>#REF!</v>
      </c>
      <c r="G426" s="53"/>
      <c r="H426" s="52" t="e">
        <f t="shared" si="21"/>
        <v>#REF!</v>
      </c>
      <c r="I426" s="54" t="e">
        <f t="shared" si="22"/>
        <v>#REF!</v>
      </c>
      <c r="J426" s="48">
        <v>0</v>
      </c>
      <c r="K426" s="52">
        <f t="shared" si="20"/>
        <v>0</v>
      </c>
      <c r="L426" s="53"/>
      <c r="M426" s="53"/>
      <c r="N426" s="53"/>
      <c r="O426" s="53"/>
      <c r="P426" s="53"/>
      <c r="Q426" s="53"/>
      <c r="R426" s="53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53"/>
      <c r="AG426" s="53"/>
      <c r="AH426" s="53"/>
    </row>
    <row r="427" spans="1:34" x14ac:dyDescent="0.25">
      <c r="A427" s="53"/>
      <c r="B427" s="53"/>
      <c r="C427" s="53"/>
      <c r="D427" s="53"/>
      <c r="E427" s="53" t="s">
        <v>12</v>
      </c>
      <c r="F427" s="53" t="e">
        <f>VLOOKUP(E427,'Price indx'!#REF!,3,FALSE)</f>
        <v>#REF!</v>
      </c>
      <c r="G427" s="53"/>
      <c r="H427" s="52" t="e">
        <f t="shared" si="21"/>
        <v>#REF!</v>
      </c>
      <c r="I427" s="54" t="e">
        <f t="shared" si="22"/>
        <v>#REF!</v>
      </c>
      <c r="J427" s="48">
        <v>0</v>
      </c>
      <c r="K427" s="52">
        <f t="shared" si="20"/>
        <v>0</v>
      </c>
      <c r="L427" s="53"/>
      <c r="M427" s="53"/>
      <c r="N427" s="53"/>
      <c r="O427" s="53"/>
      <c r="P427" s="53"/>
      <c r="Q427" s="53"/>
      <c r="R427" s="53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53"/>
      <c r="AG427" s="53"/>
      <c r="AH427" s="53"/>
    </row>
    <row r="428" spans="1:34" x14ac:dyDescent="0.25">
      <c r="A428" s="53"/>
      <c r="B428" s="53"/>
      <c r="C428" s="53"/>
      <c r="D428" s="53"/>
      <c r="E428" s="53" t="s">
        <v>12</v>
      </c>
      <c r="F428" s="53" t="e">
        <f>VLOOKUP(E428,'Price indx'!#REF!,3,FALSE)</f>
        <v>#REF!</v>
      </c>
      <c r="G428" s="53"/>
      <c r="H428" s="52" t="e">
        <f t="shared" si="21"/>
        <v>#REF!</v>
      </c>
      <c r="I428" s="54" t="e">
        <f t="shared" si="22"/>
        <v>#REF!</v>
      </c>
      <c r="J428" s="48">
        <v>0</v>
      </c>
      <c r="K428" s="52">
        <f t="shared" si="20"/>
        <v>0</v>
      </c>
      <c r="L428" s="53"/>
      <c r="M428" s="53"/>
      <c r="N428" s="53"/>
      <c r="O428" s="53"/>
      <c r="P428" s="53"/>
      <c r="Q428" s="53"/>
      <c r="R428" s="53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53"/>
      <c r="AG428" s="53"/>
      <c r="AH428" s="53"/>
    </row>
    <row r="429" spans="1:34" x14ac:dyDescent="0.25">
      <c r="A429" s="53"/>
      <c r="B429" s="53"/>
      <c r="C429" s="53"/>
      <c r="D429" s="53"/>
      <c r="E429" s="53" t="s">
        <v>12</v>
      </c>
      <c r="F429" s="53" t="e">
        <f>VLOOKUP(E429,'Price indx'!#REF!,3,FALSE)</f>
        <v>#REF!</v>
      </c>
      <c r="G429" s="53"/>
      <c r="H429" s="52" t="e">
        <f t="shared" si="21"/>
        <v>#REF!</v>
      </c>
      <c r="I429" s="54" t="e">
        <f t="shared" si="22"/>
        <v>#REF!</v>
      </c>
      <c r="J429" s="48">
        <v>0</v>
      </c>
      <c r="K429" s="52">
        <f t="shared" si="20"/>
        <v>0</v>
      </c>
      <c r="L429" s="53"/>
      <c r="M429" s="53"/>
      <c r="N429" s="53"/>
      <c r="O429" s="53"/>
      <c r="P429" s="53"/>
      <c r="Q429" s="53"/>
      <c r="R429" s="53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53"/>
      <c r="AG429" s="53"/>
      <c r="AH429" s="53"/>
    </row>
    <row r="430" spans="1:34" x14ac:dyDescent="0.25">
      <c r="A430" s="53"/>
      <c r="B430" s="53"/>
      <c r="C430" s="53"/>
      <c r="D430" s="53"/>
      <c r="E430" s="53" t="s">
        <v>12</v>
      </c>
      <c r="F430" s="53" t="e">
        <f>VLOOKUP(E430,'Price indx'!#REF!,3,FALSE)</f>
        <v>#REF!</v>
      </c>
      <c r="G430" s="53"/>
      <c r="H430" s="52" t="e">
        <f t="shared" si="21"/>
        <v>#REF!</v>
      </c>
      <c r="I430" s="54" t="e">
        <f t="shared" si="22"/>
        <v>#REF!</v>
      </c>
      <c r="J430" s="48">
        <v>0</v>
      </c>
      <c r="K430" s="52">
        <f t="shared" si="20"/>
        <v>0</v>
      </c>
      <c r="L430" s="53"/>
      <c r="M430" s="53"/>
      <c r="N430" s="53"/>
      <c r="O430" s="53"/>
      <c r="P430" s="53"/>
      <c r="Q430" s="53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53"/>
      <c r="AG430" s="53"/>
      <c r="AH430" s="53"/>
    </row>
    <row r="431" spans="1:34" x14ac:dyDescent="0.25">
      <c r="A431" s="53"/>
      <c r="B431" s="53"/>
      <c r="C431" s="53"/>
      <c r="D431" s="53"/>
      <c r="E431" s="53" t="s">
        <v>12</v>
      </c>
      <c r="F431" s="53" t="e">
        <f>VLOOKUP(E431,'Price indx'!#REF!,3,FALSE)</f>
        <v>#REF!</v>
      </c>
      <c r="G431" s="53"/>
      <c r="H431" s="52" t="e">
        <f t="shared" si="21"/>
        <v>#REF!</v>
      </c>
      <c r="I431" s="54" t="e">
        <f t="shared" si="22"/>
        <v>#REF!</v>
      </c>
      <c r="J431" s="48">
        <v>0</v>
      </c>
      <c r="K431" s="52">
        <f t="shared" si="20"/>
        <v>0</v>
      </c>
      <c r="L431" s="53"/>
      <c r="M431" s="53"/>
      <c r="N431" s="53"/>
      <c r="O431" s="53"/>
      <c r="P431" s="53"/>
      <c r="Q431" s="53"/>
      <c r="R431" s="53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53"/>
      <c r="AG431" s="53"/>
      <c r="AH431" s="53"/>
    </row>
    <row r="432" spans="1:34" x14ac:dyDescent="0.25">
      <c r="A432" s="53"/>
      <c r="B432" s="53"/>
      <c r="C432" s="53"/>
      <c r="D432" s="53"/>
      <c r="E432" s="53" t="s">
        <v>12</v>
      </c>
      <c r="F432" s="53" t="e">
        <f>VLOOKUP(E432,'Price indx'!#REF!,3,FALSE)</f>
        <v>#REF!</v>
      </c>
      <c r="G432" s="53"/>
      <c r="H432" s="52" t="e">
        <f t="shared" si="21"/>
        <v>#REF!</v>
      </c>
      <c r="I432" s="54" t="e">
        <f t="shared" si="22"/>
        <v>#REF!</v>
      </c>
      <c r="J432" s="48">
        <v>0</v>
      </c>
      <c r="K432" s="52">
        <f t="shared" si="20"/>
        <v>0</v>
      </c>
      <c r="L432" s="53"/>
      <c r="M432" s="53"/>
      <c r="N432" s="53"/>
      <c r="O432" s="53"/>
      <c r="P432" s="53"/>
      <c r="Q432" s="53"/>
      <c r="R432" s="53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53"/>
      <c r="AG432" s="53"/>
      <c r="AH432" s="53"/>
    </row>
    <row r="433" spans="1:34" x14ac:dyDescent="0.25">
      <c r="A433" s="53"/>
      <c r="B433" s="53"/>
      <c r="C433" s="53"/>
      <c r="D433" s="53"/>
      <c r="E433" s="53" t="s">
        <v>12</v>
      </c>
      <c r="F433" s="53" t="e">
        <f>VLOOKUP(E433,'Price indx'!#REF!,3,FALSE)</f>
        <v>#REF!</v>
      </c>
      <c r="G433" s="53"/>
      <c r="H433" s="52" t="e">
        <f t="shared" si="21"/>
        <v>#REF!</v>
      </c>
      <c r="I433" s="54" t="e">
        <f t="shared" si="22"/>
        <v>#REF!</v>
      </c>
      <c r="J433" s="48">
        <v>0</v>
      </c>
      <c r="K433" s="52">
        <f t="shared" si="20"/>
        <v>0</v>
      </c>
      <c r="L433" s="53"/>
      <c r="M433" s="53"/>
      <c r="N433" s="53"/>
      <c r="O433" s="53"/>
      <c r="P433" s="53"/>
      <c r="Q433" s="53"/>
      <c r="R433" s="53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53"/>
      <c r="AG433" s="53"/>
      <c r="AH433" s="53"/>
    </row>
    <row r="434" spans="1:34" x14ac:dyDescent="0.25">
      <c r="A434" s="53"/>
      <c r="B434" s="53"/>
      <c r="C434" s="53"/>
      <c r="D434" s="53"/>
      <c r="E434" s="53" t="s">
        <v>12</v>
      </c>
      <c r="F434" s="53" t="e">
        <f>VLOOKUP(E434,'Price indx'!#REF!,3,FALSE)</f>
        <v>#REF!</v>
      </c>
      <c r="G434" s="53"/>
      <c r="H434" s="52" t="e">
        <f t="shared" si="21"/>
        <v>#REF!</v>
      </c>
      <c r="I434" s="54" t="e">
        <f t="shared" si="22"/>
        <v>#REF!</v>
      </c>
      <c r="J434" s="48">
        <v>0</v>
      </c>
      <c r="K434" s="52">
        <f t="shared" si="20"/>
        <v>0</v>
      </c>
      <c r="L434" s="53"/>
      <c r="M434" s="53"/>
      <c r="N434" s="53"/>
      <c r="O434" s="53"/>
      <c r="P434" s="53"/>
      <c r="Q434" s="53"/>
      <c r="R434" s="53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53"/>
      <c r="AG434" s="53"/>
      <c r="AH434" s="53"/>
    </row>
    <row r="435" spans="1:34" x14ac:dyDescent="0.25">
      <c r="A435" s="53"/>
      <c r="B435" s="53"/>
      <c r="C435" s="53"/>
      <c r="D435" s="53"/>
      <c r="E435" s="53" t="s">
        <v>12</v>
      </c>
      <c r="F435" s="53" t="e">
        <f>VLOOKUP(E435,'Price indx'!#REF!,3,FALSE)</f>
        <v>#REF!</v>
      </c>
      <c r="G435" s="53"/>
      <c r="H435" s="52" t="e">
        <f t="shared" si="21"/>
        <v>#REF!</v>
      </c>
      <c r="I435" s="54" t="e">
        <f t="shared" si="22"/>
        <v>#REF!</v>
      </c>
      <c r="J435" s="48">
        <v>0</v>
      </c>
      <c r="K435" s="52">
        <f t="shared" si="20"/>
        <v>0</v>
      </c>
      <c r="L435" s="53"/>
      <c r="M435" s="53"/>
      <c r="N435" s="53"/>
      <c r="O435" s="53"/>
      <c r="P435" s="53"/>
      <c r="Q435" s="53"/>
      <c r="R435" s="53"/>
      <c r="S435" s="53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53"/>
      <c r="AG435" s="53"/>
      <c r="AH435" s="53"/>
    </row>
    <row r="436" spans="1:34" x14ac:dyDescent="0.25">
      <c r="A436" s="53"/>
      <c r="B436" s="53"/>
      <c r="C436" s="53"/>
      <c r="D436" s="53"/>
      <c r="E436" s="53" t="s">
        <v>12</v>
      </c>
      <c r="F436" s="53" t="e">
        <f>VLOOKUP(E436,'Price indx'!#REF!,3,FALSE)</f>
        <v>#REF!</v>
      </c>
      <c r="G436" s="53"/>
      <c r="H436" s="52" t="e">
        <f t="shared" si="21"/>
        <v>#REF!</v>
      </c>
      <c r="I436" s="54" t="e">
        <f t="shared" si="22"/>
        <v>#REF!</v>
      </c>
      <c r="J436" s="48">
        <v>0</v>
      </c>
      <c r="K436" s="52">
        <f t="shared" si="20"/>
        <v>0</v>
      </c>
      <c r="L436" s="53"/>
      <c r="M436" s="53"/>
      <c r="N436" s="53"/>
      <c r="O436" s="53"/>
      <c r="P436" s="53"/>
      <c r="Q436" s="53"/>
      <c r="R436" s="53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53"/>
      <c r="AG436" s="53"/>
      <c r="AH436" s="53"/>
    </row>
    <row r="437" spans="1:34" x14ac:dyDescent="0.25">
      <c r="A437" s="53"/>
      <c r="B437" s="53"/>
      <c r="C437" s="53"/>
      <c r="D437" s="53"/>
      <c r="E437" s="53" t="s">
        <v>12</v>
      </c>
      <c r="F437" s="53" t="e">
        <f>VLOOKUP(E437,'Price indx'!#REF!,3,FALSE)</f>
        <v>#REF!</v>
      </c>
      <c r="G437" s="53"/>
      <c r="H437" s="52" t="e">
        <f t="shared" si="21"/>
        <v>#REF!</v>
      </c>
      <c r="I437" s="54" t="e">
        <f t="shared" si="22"/>
        <v>#REF!</v>
      </c>
      <c r="J437" s="48">
        <v>0</v>
      </c>
      <c r="K437" s="52">
        <f t="shared" si="20"/>
        <v>0</v>
      </c>
      <c r="L437" s="53"/>
      <c r="M437" s="53"/>
      <c r="N437" s="53"/>
      <c r="O437" s="53"/>
      <c r="P437" s="53"/>
      <c r="Q437" s="53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53"/>
      <c r="AG437" s="53"/>
      <c r="AH437" s="53"/>
    </row>
    <row r="438" spans="1:34" x14ac:dyDescent="0.25">
      <c r="A438" s="53"/>
      <c r="B438" s="53"/>
      <c r="C438" s="53"/>
      <c r="D438" s="53"/>
      <c r="E438" s="53" t="s">
        <v>12</v>
      </c>
      <c r="F438" s="53" t="e">
        <f>VLOOKUP(E438,'Price indx'!#REF!,3,FALSE)</f>
        <v>#REF!</v>
      </c>
      <c r="G438" s="53"/>
      <c r="H438" s="52" t="e">
        <f t="shared" si="21"/>
        <v>#REF!</v>
      </c>
      <c r="I438" s="54" t="e">
        <f t="shared" si="22"/>
        <v>#REF!</v>
      </c>
      <c r="J438" s="48">
        <v>0</v>
      </c>
      <c r="K438" s="52">
        <f t="shared" si="20"/>
        <v>0</v>
      </c>
      <c r="L438" s="53"/>
      <c r="M438" s="53"/>
      <c r="N438" s="53"/>
      <c r="O438" s="53"/>
      <c r="P438" s="53"/>
      <c r="Q438" s="53"/>
      <c r="R438" s="53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53"/>
      <c r="AG438" s="53"/>
      <c r="AH438" s="53"/>
    </row>
    <row r="439" spans="1:34" x14ac:dyDescent="0.25">
      <c r="A439" s="53"/>
      <c r="B439" s="53"/>
      <c r="C439" s="53"/>
      <c r="D439" s="53"/>
      <c r="E439" s="53" t="s">
        <v>12</v>
      </c>
      <c r="F439" s="53" t="e">
        <f>VLOOKUP(E439,'Price indx'!#REF!,3,FALSE)</f>
        <v>#REF!</v>
      </c>
      <c r="G439" s="53"/>
      <c r="H439" s="52" t="e">
        <f t="shared" si="21"/>
        <v>#REF!</v>
      </c>
      <c r="I439" s="54" t="e">
        <f t="shared" si="22"/>
        <v>#REF!</v>
      </c>
      <c r="J439" s="48">
        <v>0</v>
      </c>
      <c r="K439" s="52">
        <f t="shared" si="20"/>
        <v>0</v>
      </c>
      <c r="L439" s="53"/>
      <c r="M439" s="53"/>
      <c r="N439" s="53"/>
      <c r="O439" s="53"/>
      <c r="P439" s="53"/>
      <c r="Q439" s="53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53"/>
      <c r="AG439" s="53"/>
      <c r="AH439" s="53"/>
    </row>
    <row r="440" spans="1:34" x14ac:dyDescent="0.25">
      <c r="A440" s="53"/>
      <c r="B440" s="53"/>
      <c r="C440" s="53"/>
      <c r="D440" s="53"/>
      <c r="E440" s="53" t="s">
        <v>12</v>
      </c>
      <c r="F440" s="53" t="e">
        <f>VLOOKUP(E440,'Price indx'!#REF!,3,FALSE)</f>
        <v>#REF!</v>
      </c>
      <c r="G440" s="53"/>
      <c r="H440" s="52" t="e">
        <f t="shared" si="21"/>
        <v>#REF!</v>
      </c>
      <c r="I440" s="54" t="e">
        <f t="shared" si="22"/>
        <v>#REF!</v>
      </c>
      <c r="J440" s="48">
        <v>0</v>
      </c>
      <c r="K440" s="52">
        <f t="shared" si="20"/>
        <v>0</v>
      </c>
      <c r="L440" s="53"/>
      <c r="M440" s="53"/>
      <c r="N440" s="53"/>
      <c r="O440" s="53"/>
      <c r="P440" s="53"/>
      <c r="Q440" s="53"/>
      <c r="R440" s="53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53"/>
      <c r="AG440" s="53"/>
      <c r="AH440" s="53"/>
    </row>
    <row r="441" spans="1:34" x14ac:dyDescent="0.25">
      <c r="A441" s="53"/>
      <c r="B441" s="53"/>
      <c r="C441" s="53"/>
      <c r="D441" s="53"/>
      <c r="E441" s="53" t="s">
        <v>12</v>
      </c>
      <c r="F441" s="53" t="e">
        <f>VLOOKUP(E441,'Price indx'!#REF!,3,FALSE)</f>
        <v>#REF!</v>
      </c>
      <c r="G441" s="53"/>
      <c r="H441" s="52" t="e">
        <f t="shared" si="21"/>
        <v>#REF!</v>
      </c>
      <c r="I441" s="54" t="e">
        <f t="shared" si="22"/>
        <v>#REF!</v>
      </c>
      <c r="J441" s="48">
        <v>0</v>
      </c>
      <c r="K441" s="52">
        <f t="shared" si="20"/>
        <v>0</v>
      </c>
      <c r="L441" s="53"/>
      <c r="M441" s="53"/>
      <c r="N441" s="53"/>
      <c r="O441" s="53"/>
      <c r="P441" s="53"/>
      <c r="Q441" s="53"/>
      <c r="R441" s="53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53"/>
      <c r="AG441" s="53"/>
      <c r="AH441" s="53"/>
    </row>
    <row r="442" spans="1:34" x14ac:dyDescent="0.25">
      <c r="A442" s="53"/>
      <c r="B442" s="53"/>
      <c r="C442" s="53"/>
      <c r="D442" s="53"/>
      <c r="E442" s="53" t="s">
        <v>12</v>
      </c>
      <c r="F442" s="53" t="e">
        <f>VLOOKUP(E442,'Price indx'!#REF!,3,FALSE)</f>
        <v>#REF!</v>
      </c>
      <c r="G442" s="53"/>
      <c r="H442" s="52" t="e">
        <f t="shared" si="21"/>
        <v>#REF!</v>
      </c>
      <c r="I442" s="54" t="e">
        <f t="shared" si="22"/>
        <v>#REF!</v>
      </c>
      <c r="J442" s="48">
        <v>0</v>
      </c>
      <c r="K442" s="52">
        <f t="shared" si="20"/>
        <v>0</v>
      </c>
      <c r="L442" s="53"/>
      <c r="M442" s="53"/>
      <c r="N442" s="53"/>
      <c r="O442" s="53"/>
      <c r="P442" s="53"/>
      <c r="Q442" s="53"/>
      <c r="R442" s="53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53"/>
      <c r="AG442" s="53"/>
      <c r="AH442" s="53"/>
    </row>
    <row r="443" spans="1:34" x14ac:dyDescent="0.25">
      <c r="A443" s="53"/>
      <c r="B443" s="53"/>
      <c r="C443" s="53"/>
      <c r="D443" s="53"/>
      <c r="E443" s="53" t="s">
        <v>12</v>
      </c>
      <c r="F443" s="53" t="e">
        <f>VLOOKUP(E443,'Price indx'!#REF!,3,FALSE)</f>
        <v>#REF!</v>
      </c>
      <c r="G443" s="53"/>
      <c r="H443" s="52" t="e">
        <f t="shared" si="21"/>
        <v>#REF!</v>
      </c>
      <c r="I443" s="54" t="e">
        <f t="shared" si="22"/>
        <v>#REF!</v>
      </c>
      <c r="J443" s="48">
        <v>0</v>
      </c>
      <c r="K443" s="52">
        <f t="shared" si="20"/>
        <v>0</v>
      </c>
      <c r="L443" s="53"/>
      <c r="M443" s="53"/>
      <c r="N443" s="53"/>
      <c r="O443" s="53"/>
      <c r="P443" s="53"/>
      <c r="Q443" s="53"/>
      <c r="R443" s="53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53"/>
      <c r="AG443" s="53"/>
      <c r="AH443" s="53"/>
    </row>
    <row r="444" spans="1:34" x14ac:dyDescent="0.25">
      <c r="A444" s="53"/>
      <c r="B444" s="53"/>
      <c r="C444" s="53"/>
      <c r="D444" s="53"/>
      <c r="E444" s="53" t="s">
        <v>12</v>
      </c>
      <c r="F444" s="53" t="e">
        <f>VLOOKUP(E444,'Price indx'!#REF!,3,FALSE)</f>
        <v>#REF!</v>
      </c>
      <c r="G444" s="53"/>
      <c r="H444" s="52" t="e">
        <f t="shared" si="21"/>
        <v>#REF!</v>
      </c>
      <c r="I444" s="54" t="e">
        <f t="shared" si="22"/>
        <v>#REF!</v>
      </c>
      <c r="J444" s="48">
        <v>0</v>
      </c>
      <c r="K444" s="52">
        <f t="shared" si="20"/>
        <v>0</v>
      </c>
      <c r="L444" s="53"/>
      <c r="M444" s="53"/>
      <c r="N444" s="53"/>
      <c r="O444" s="53"/>
      <c r="P444" s="53"/>
      <c r="Q444" s="53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53"/>
      <c r="AG444" s="53"/>
      <c r="AH444" s="53"/>
    </row>
    <row r="445" spans="1:34" x14ac:dyDescent="0.25">
      <c r="A445" s="53"/>
      <c r="B445" s="53"/>
      <c r="C445" s="53"/>
      <c r="D445" s="53"/>
      <c r="E445" s="53" t="s">
        <v>12</v>
      </c>
      <c r="F445" s="53" t="e">
        <f>VLOOKUP(E445,'Price indx'!#REF!,3,FALSE)</f>
        <v>#REF!</v>
      </c>
      <c r="G445" s="53"/>
      <c r="H445" s="52" t="e">
        <f t="shared" si="21"/>
        <v>#REF!</v>
      </c>
      <c r="I445" s="54" t="e">
        <f t="shared" si="22"/>
        <v>#REF!</v>
      </c>
      <c r="J445" s="48">
        <v>0</v>
      </c>
      <c r="K445" s="52">
        <f t="shared" si="20"/>
        <v>0</v>
      </c>
      <c r="L445" s="53"/>
      <c r="M445" s="53"/>
      <c r="N445" s="53"/>
      <c r="O445" s="53"/>
      <c r="P445" s="53"/>
      <c r="Q445" s="53"/>
      <c r="R445" s="53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53"/>
      <c r="AG445" s="53"/>
      <c r="AH445" s="53"/>
    </row>
    <row r="446" spans="1:34" x14ac:dyDescent="0.25">
      <c r="A446" s="53"/>
      <c r="B446" s="53"/>
      <c r="C446" s="53"/>
      <c r="D446" s="53"/>
      <c r="E446" s="53" t="s">
        <v>12</v>
      </c>
      <c r="F446" s="53" t="e">
        <f>VLOOKUP(E446,'Price indx'!#REF!,3,FALSE)</f>
        <v>#REF!</v>
      </c>
      <c r="G446" s="53"/>
      <c r="H446" s="52" t="e">
        <f t="shared" si="21"/>
        <v>#REF!</v>
      </c>
      <c r="I446" s="54" t="e">
        <f t="shared" si="22"/>
        <v>#REF!</v>
      </c>
      <c r="J446" s="48">
        <v>0</v>
      </c>
      <c r="K446" s="52">
        <f t="shared" si="20"/>
        <v>0</v>
      </c>
      <c r="L446" s="53"/>
      <c r="M446" s="53"/>
      <c r="N446" s="53"/>
      <c r="O446" s="53"/>
      <c r="P446" s="53"/>
      <c r="Q446" s="53"/>
      <c r="R446" s="53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53"/>
      <c r="AG446" s="53"/>
      <c r="AH446" s="53"/>
    </row>
    <row r="447" spans="1:34" x14ac:dyDescent="0.25">
      <c r="A447" s="53"/>
      <c r="B447" s="53"/>
      <c r="C447" s="53"/>
      <c r="D447" s="53"/>
      <c r="E447" s="53" t="s">
        <v>12</v>
      </c>
      <c r="F447" s="53" t="e">
        <f>VLOOKUP(E447,'Price indx'!#REF!,3,FALSE)</f>
        <v>#REF!</v>
      </c>
      <c r="G447" s="53"/>
      <c r="H447" s="52" t="e">
        <f t="shared" si="21"/>
        <v>#REF!</v>
      </c>
      <c r="I447" s="54" t="e">
        <f t="shared" si="22"/>
        <v>#REF!</v>
      </c>
      <c r="J447" s="48">
        <v>0</v>
      </c>
      <c r="K447" s="52">
        <f t="shared" si="20"/>
        <v>0</v>
      </c>
      <c r="L447" s="53"/>
      <c r="M447" s="53"/>
      <c r="N447" s="53"/>
      <c r="O447" s="53"/>
      <c r="P447" s="53"/>
      <c r="Q447" s="53"/>
      <c r="R447" s="53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53"/>
      <c r="AG447" s="53"/>
      <c r="AH447" s="53"/>
    </row>
    <row r="448" spans="1:34" x14ac:dyDescent="0.25">
      <c r="A448" s="53"/>
      <c r="B448" s="53"/>
      <c r="C448" s="53"/>
      <c r="D448" s="53"/>
      <c r="E448" s="53" t="s">
        <v>12</v>
      </c>
      <c r="F448" s="53" t="e">
        <f>VLOOKUP(E448,'Price indx'!#REF!,3,FALSE)</f>
        <v>#REF!</v>
      </c>
      <c r="G448" s="53"/>
      <c r="H448" s="52" t="e">
        <f t="shared" si="21"/>
        <v>#REF!</v>
      </c>
      <c r="I448" s="54" t="e">
        <f t="shared" si="22"/>
        <v>#REF!</v>
      </c>
      <c r="J448" s="48">
        <v>0</v>
      </c>
      <c r="K448" s="52">
        <f t="shared" si="20"/>
        <v>0</v>
      </c>
      <c r="L448" s="53"/>
      <c r="M448" s="53"/>
      <c r="N448" s="53"/>
      <c r="O448" s="53"/>
      <c r="P448" s="53"/>
      <c r="Q448" s="53"/>
      <c r="R448" s="53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53"/>
      <c r="AG448" s="53"/>
      <c r="AH448" s="53"/>
    </row>
    <row r="449" spans="1:34" x14ac:dyDescent="0.25">
      <c r="A449" s="53"/>
      <c r="B449" s="53"/>
      <c r="C449" s="53"/>
      <c r="D449" s="53"/>
      <c r="E449" s="53" t="s">
        <v>12</v>
      </c>
      <c r="F449" s="53" t="e">
        <f>VLOOKUP(E449,'Price indx'!#REF!,3,FALSE)</f>
        <v>#REF!</v>
      </c>
      <c r="G449" s="53"/>
      <c r="H449" s="52" t="e">
        <f t="shared" si="21"/>
        <v>#REF!</v>
      </c>
      <c r="I449" s="54" t="e">
        <f t="shared" si="22"/>
        <v>#REF!</v>
      </c>
      <c r="J449" s="48">
        <v>0</v>
      </c>
      <c r="K449" s="52">
        <f t="shared" si="20"/>
        <v>0</v>
      </c>
      <c r="L449" s="53"/>
      <c r="M449" s="53"/>
      <c r="N449" s="53"/>
      <c r="O449" s="53"/>
      <c r="P449" s="53"/>
      <c r="Q449" s="53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53"/>
      <c r="AG449" s="53"/>
      <c r="AH449" s="53"/>
    </row>
    <row r="450" spans="1:34" x14ac:dyDescent="0.25">
      <c r="A450" s="53"/>
      <c r="B450" s="53"/>
      <c r="C450" s="53"/>
      <c r="D450" s="53"/>
      <c r="E450" s="53" t="s">
        <v>12</v>
      </c>
      <c r="F450" s="53" t="e">
        <f>VLOOKUP(E450,'Price indx'!#REF!,3,FALSE)</f>
        <v>#REF!</v>
      </c>
      <c r="G450" s="53"/>
      <c r="H450" s="52" t="e">
        <f t="shared" si="21"/>
        <v>#REF!</v>
      </c>
      <c r="I450" s="54" t="e">
        <f t="shared" si="22"/>
        <v>#REF!</v>
      </c>
      <c r="J450" s="48">
        <v>0</v>
      </c>
      <c r="K450" s="52">
        <f t="shared" si="20"/>
        <v>0</v>
      </c>
      <c r="L450" s="53"/>
      <c r="M450" s="53"/>
      <c r="N450" s="53"/>
      <c r="O450" s="53"/>
      <c r="P450" s="53"/>
      <c r="Q450" s="53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53"/>
      <c r="AG450" s="53"/>
      <c r="AH450" s="53"/>
    </row>
    <row r="451" spans="1:34" x14ac:dyDescent="0.25">
      <c r="A451" s="53"/>
      <c r="B451" s="53"/>
      <c r="C451" s="53"/>
      <c r="D451" s="53"/>
      <c r="E451" s="53" t="s">
        <v>12</v>
      </c>
      <c r="F451" s="53" t="e">
        <f>VLOOKUP(E451,'Price indx'!#REF!,3,FALSE)</f>
        <v>#REF!</v>
      </c>
      <c r="G451" s="53"/>
      <c r="H451" s="52" t="e">
        <f t="shared" si="21"/>
        <v>#REF!</v>
      </c>
      <c r="I451" s="54" t="e">
        <f t="shared" si="22"/>
        <v>#REF!</v>
      </c>
      <c r="J451" s="48">
        <v>0</v>
      </c>
      <c r="K451" s="52">
        <f t="shared" si="20"/>
        <v>0</v>
      </c>
      <c r="L451" s="53"/>
      <c r="M451" s="53"/>
      <c r="N451" s="53"/>
      <c r="O451" s="53"/>
      <c r="P451" s="53"/>
      <c r="Q451" s="53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53"/>
      <c r="AG451" s="53"/>
      <c r="AH451" s="53"/>
    </row>
    <row r="452" spans="1:34" x14ac:dyDescent="0.25">
      <c r="A452" s="53"/>
      <c r="B452" s="53"/>
      <c r="C452" s="53"/>
      <c r="D452" s="53"/>
      <c r="E452" s="53" t="s">
        <v>12</v>
      </c>
      <c r="F452" s="53" t="e">
        <f>VLOOKUP(E452,'Price indx'!#REF!,3,FALSE)</f>
        <v>#REF!</v>
      </c>
      <c r="G452" s="53"/>
      <c r="H452" s="52" t="e">
        <f t="shared" si="21"/>
        <v>#REF!</v>
      </c>
      <c r="I452" s="54" t="e">
        <f t="shared" si="22"/>
        <v>#REF!</v>
      </c>
      <c r="J452" s="48">
        <v>0</v>
      </c>
      <c r="K452" s="52">
        <f t="shared" ref="K452:K500" si="23">IF(A452=0,(C452),(0))</f>
        <v>0</v>
      </c>
      <c r="L452" s="53"/>
      <c r="M452" s="53"/>
      <c r="N452" s="53"/>
      <c r="O452" s="53"/>
      <c r="P452" s="53"/>
      <c r="Q452" s="53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53"/>
      <c r="AG452" s="53"/>
      <c r="AH452" s="53"/>
    </row>
    <row r="453" spans="1:34" x14ac:dyDescent="0.25">
      <c r="A453" s="53"/>
      <c r="B453" s="53"/>
      <c r="C453" s="53"/>
      <c r="D453" s="53"/>
      <c r="E453" s="53" t="s">
        <v>12</v>
      </c>
      <c r="F453" s="53" t="e">
        <f>VLOOKUP(E453,'Price indx'!#REF!,3,FALSE)</f>
        <v>#REF!</v>
      </c>
      <c r="G453" s="53"/>
      <c r="H453" s="52" t="e">
        <f t="shared" ref="H453:H516" si="24">G453*F453</f>
        <v>#REF!</v>
      </c>
      <c r="I453" s="54" t="e">
        <f t="shared" ref="I453:I500" si="25">H453/C453-1</f>
        <v>#REF!</v>
      </c>
      <c r="J453" s="48">
        <v>0</v>
      </c>
      <c r="K453" s="52">
        <f t="shared" si="23"/>
        <v>0</v>
      </c>
      <c r="L453" s="53"/>
      <c r="M453" s="53"/>
      <c r="N453" s="53"/>
      <c r="O453" s="53"/>
      <c r="P453" s="53"/>
      <c r="Q453" s="53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53"/>
      <c r="AG453" s="53"/>
      <c r="AH453" s="53"/>
    </row>
    <row r="454" spans="1:34" x14ac:dyDescent="0.25">
      <c r="A454" s="53"/>
      <c r="B454" s="53"/>
      <c r="C454" s="53"/>
      <c r="D454" s="53"/>
      <c r="E454" s="53" t="s">
        <v>12</v>
      </c>
      <c r="F454" s="53" t="e">
        <f>VLOOKUP(E454,'Price indx'!#REF!,3,FALSE)</f>
        <v>#REF!</v>
      </c>
      <c r="G454" s="53"/>
      <c r="H454" s="52" t="e">
        <f t="shared" si="24"/>
        <v>#REF!</v>
      </c>
      <c r="I454" s="54" t="e">
        <f t="shared" si="25"/>
        <v>#REF!</v>
      </c>
      <c r="J454" s="48">
        <v>0</v>
      </c>
      <c r="K454" s="52">
        <f t="shared" si="23"/>
        <v>0</v>
      </c>
      <c r="L454" s="53"/>
      <c r="M454" s="53"/>
      <c r="N454" s="53"/>
      <c r="O454" s="53"/>
      <c r="P454" s="53"/>
      <c r="Q454" s="53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53"/>
      <c r="AG454" s="53"/>
      <c r="AH454" s="53"/>
    </row>
    <row r="455" spans="1:34" x14ac:dyDescent="0.25">
      <c r="A455" s="53"/>
      <c r="B455" s="53"/>
      <c r="C455" s="53"/>
      <c r="D455" s="53"/>
      <c r="E455" s="53" t="s">
        <v>12</v>
      </c>
      <c r="F455" s="53" t="e">
        <f>VLOOKUP(E455,'Price indx'!#REF!,3,FALSE)</f>
        <v>#REF!</v>
      </c>
      <c r="G455" s="53"/>
      <c r="H455" s="52" t="e">
        <f t="shared" si="24"/>
        <v>#REF!</v>
      </c>
      <c r="I455" s="54" t="e">
        <f t="shared" si="25"/>
        <v>#REF!</v>
      </c>
      <c r="J455" s="48">
        <v>0</v>
      </c>
      <c r="K455" s="52">
        <f t="shared" si="23"/>
        <v>0</v>
      </c>
      <c r="L455" s="53"/>
      <c r="M455" s="53"/>
      <c r="N455" s="53"/>
      <c r="O455" s="53"/>
      <c r="P455" s="53"/>
      <c r="Q455" s="53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53"/>
      <c r="AG455" s="53"/>
      <c r="AH455" s="53"/>
    </row>
    <row r="456" spans="1:34" x14ac:dyDescent="0.25">
      <c r="A456" s="53"/>
      <c r="B456" s="53"/>
      <c r="C456" s="53"/>
      <c r="D456" s="53"/>
      <c r="E456" s="53" t="s">
        <v>12</v>
      </c>
      <c r="F456" s="53" t="e">
        <f>VLOOKUP(E456,'Price indx'!#REF!,3,FALSE)</f>
        <v>#REF!</v>
      </c>
      <c r="G456" s="53"/>
      <c r="H456" s="52" t="e">
        <f t="shared" si="24"/>
        <v>#REF!</v>
      </c>
      <c r="I456" s="54" t="e">
        <f t="shared" si="25"/>
        <v>#REF!</v>
      </c>
      <c r="J456" s="48">
        <v>0</v>
      </c>
      <c r="K456" s="52">
        <f t="shared" si="23"/>
        <v>0</v>
      </c>
      <c r="L456" s="53"/>
      <c r="M456" s="53"/>
      <c r="N456" s="53"/>
      <c r="O456" s="53"/>
      <c r="P456" s="53"/>
      <c r="Q456" s="53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53"/>
      <c r="AG456" s="53"/>
      <c r="AH456" s="53"/>
    </row>
    <row r="457" spans="1:34" x14ac:dyDescent="0.25">
      <c r="A457" s="53"/>
      <c r="B457" s="53"/>
      <c r="C457" s="53"/>
      <c r="D457" s="53"/>
      <c r="E457" s="53" t="s">
        <v>12</v>
      </c>
      <c r="F457" s="53" t="e">
        <f>VLOOKUP(E457,'Price indx'!#REF!,3,FALSE)</f>
        <v>#REF!</v>
      </c>
      <c r="G457" s="53"/>
      <c r="H457" s="52" t="e">
        <f t="shared" si="24"/>
        <v>#REF!</v>
      </c>
      <c r="I457" s="54" t="e">
        <f t="shared" si="25"/>
        <v>#REF!</v>
      </c>
      <c r="J457" s="48">
        <v>0</v>
      </c>
      <c r="K457" s="52">
        <f t="shared" si="23"/>
        <v>0</v>
      </c>
      <c r="L457" s="53"/>
      <c r="M457" s="53"/>
      <c r="N457" s="53"/>
      <c r="O457" s="53"/>
      <c r="P457" s="53"/>
      <c r="Q457" s="53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53"/>
      <c r="AG457" s="53"/>
      <c r="AH457" s="53"/>
    </row>
    <row r="458" spans="1:34" x14ac:dyDescent="0.25">
      <c r="A458" s="53"/>
      <c r="B458" s="53"/>
      <c r="C458" s="53"/>
      <c r="D458" s="53"/>
      <c r="E458" s="53" t="s">
        <v>12</v>
      </c>
      <c r="F458" s="53" t="e">
        <f>VLOOKUP(E458,'Price indx'!#REF!,3,FALSE)</f>
        <v>#REF!</v>
      </c>
      <c r="G458" s="53"/>
      <c r="H458" s="52" t="e">
        <f t="shared" si="24"/>
        <v>#REF!</v>
      </c>
      <c r="I458" s="54" t="e">
        <f t="shared" si="25"/>
        <v>#REF!</v>
      </c>
      <c r="J458" s="48">
        <v>0</v>
      </c>
      <c r="K458" s="52">
        <f t="shared" si="23"/>
        <v>0</v>
      </c>
      <c r="L458" s="53"/>
      <c r="M458" s="53"/>
      <c r="N458" s="53"/>
      <c r="O458" s="53"/>
      <c r="P458" s="53"/>
      <c r="Q458" s="53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53"/>
      <c r="AG458" s="53"/>
      <c r="AH458" s="53"/>
    </row>
    <row r="459" spans="1:34" x14ac:dyDescent="0.25">
      <c r="A459" s="53"/>
      <c r="B459" s="53"/>
      <c r="C459" s="53"/>
      <c r="D459" s="53"/>
      <c r="E459" s="53" t="s">
        <v>12</v>
      </c>
      <c r="F459" s="53" t="e">
        <f>VLOOKUP(E459,'Price indx'!#REF!,3,FALSE)</f>
        <v>#REF!</v>
      </c>
      <c r="G459" s="53"/>
      <c r="H459" s="52" t="e">
        <f t="shared" si="24"/>
        <v>#REF!</v>
      </c>
      <c r="I459" s="54" t="e">
        <f t="shared" si="25"/>
        <v>#REF!</v>
      </c>
      <c r="J459" s="48">
        <v>0</v>
      </c>
      <c r="K459" s="52">
        <f t="shared" si="23"/>
        <v>0</v>
      </c>
      <c r="L459" s="53"/>
      <c r="M459" s="53"/>
      <c r="N459" s="53"/>
      <c r="O459" s="53"/>
      <c r="P459" s="53"/>
      <c r="Q459" s="53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53"/>
      <c r="AG459" s="53"/>
      <c r="AH459" s="53"/>
    </row>
    <row r="460" spans="1:34" x14ac:dyDescent="0.25">
      <c r="A460" s="53"/>
      <c r="B460" s="53"/>
      <c r="C460" s="53"/>
      <c r="D460" s="53"/>
      <c r="E460" s="53" t="s">
        <v>12</v>
      </c>
      <c r="F460" s="53" t="e">
        <f>VLOOKUP(E460,'Price indx'!#REF!,3,FALSE)</f>
        <v>#REF!</v>
      </c>
      <c r="G460" s="53"/>
      <c r="H460" s="52" t="e">
        <f t="shared" si="24"/>
        <v>#REF!</v>
      </c>
      <c r="I460" s="54" t="e">
        <f t="shared" si="25"/>
        <v>#REF!</v>
      </c>
      <c r="J460" s="48">
        <v>0</v>
      </c>
      <c r="K460" s="52">
        <f t="shared" si="23"/>
        <v>0</v>
      </c>
      <c r="L460" s="53"/>
      <c r="M460" s="53"/>
      <c r="N460" s="53"/>
      <c r="O460" s="53"/>
      <c r="P460" s="53"/>
      <c r="Q460" s="53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53"/>
      <c r="AG460" s="53"/>
      <c r="AH460" s="53"/>
    </row>
    <row r="461" spans="1:34" x14ac:dyDescent="0.25">
      <c r="A461" s="53"/>
      <c r="B461" s="53"/>
      <c r="C461" s="53"/>
      <c r="D461" s="53"/>
      <c r="E461" s="53" t="s">
        <v>12</v>
      </c>
      <c r="F461" s="53" t="e">
        <f>VLOOKUP(E461,'Price indx'!#REF!,3,FALSE)</f>
        <v>#REF!</v>
      </c>
      <c r="G461" s="53"/>
      <c r="H461" s="52" t="e">
        <f t="shared" si="24"/>
        <v>#REF!</v>
      </c>
      <c r="I461" s="54" t="e">
        <f t="shared" si="25"/>
        <v>#REF!</v>
      </c>
      <c r="J461" s="48">
        <v>0</v>
      </c>
      <c r="K461" s="52">
        <f t="shared" si="23"/>
        <v>0</v>
      </c>
      <c r="L461" s="53"/>
      <c r="M461" s="53"/>
      <c r="N461" s="53"/>
      <c r="O461" s="53"/>
      <c r="P461" s="53"/>
      <c r="Q461" s="53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53"/>
      <c r="AG461" s="53"/>
      <c r="AH461" s="53"/>
    </row>
    <row r="462" spans="1:34" x14ac:dyDescent="0.25">
      <c r="A462" s="53"/>
      <c r="B462" s="53"/>
      <c r="C462" s="53"/>
      <c r="D462" s="53"/>
      <c r="E462" s="53" t="s">
        <v>12</v>
      </c>
      <c r="F462" s="53" t="e">
        <f>VLOOKUP(E462,'Price indx'!#REF!,3,FALSE)</f>
        <v>#REF!</v>
      </c>
      <c r="G462" s="53"/>
      <c r="H462" s="52" t="e">
        <f t="shared" si="24"/>
        <v>#REF!</v>
      </c>
      <c r="I462" s="54" t="e">
        <f t="shared" si="25"/>
        <v>#REF!</v>
      </c>
      <c r="J462" s="48">
        <v>0</v>
      </c>
      <c r="K462" s="52">
        <f t="shared" si="23"/>
        <v>0</v>
      </c>
      <c r="L462" s="53"/>
      <c r="M462" s="53"/>
      <c r="N462" s="53"/>
      <c r="O462" s="53"/>
      <c r="P462" s="53"/>
      <c r="Q462" s="53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53"/>
      <c r="AG462" s="53"/>
      <c r="AH462" s="53"/>
    </row>
    <row r="463" spans="1:34" x14ac:dyDescent="0.25">
      <c r="A463" s="53"/>
      <c r="B463" s="53"/>
      <c r="C463" s="53"/>
      <c r="D463" s="53"/>
      <c r="E463" s="53" t="s">
        <v>12</v>
      </c>
      <c r="F463" s="53" t="e">
        <f>VLOOKUP(E463,'Price indx'!#REF!,3,FALSE)</f>
        <v>#REF!</v>
      </c>
      <c r="G463" s="53"/>
      <c r="H463" s="52" t="e">
        <f t="shared" si="24"/>
        <v>#REF!</v>
      </c>
      <c r="I463" s="54" t="e">
        <f t="shared" si="25"/>
        <v>#REF!</v>
      </c>
      <c r="J463" s="48">
        <v>0</v>
      </c>
      <c r="K463" s="52">
        <f t="shared" si="23"/>
        <v>0</v>
      </c>
      <c r="L463" s="53"/>
      <c r="M463" s="53"/>
      <c r="N463" s="53"/>
      <c r="O463" s="53"/>
      <c r="P463" s="53"/>
      <c r="Q463" s="53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53"/>
      <c r="AG463" s="53"/>
      <c r="AH463" s="53"/>
    </row>
    <row r="464" spans="1:34" x14ac:dyDescent="0.25">
      <c r="A464" s="53"/>
      <c r="B464" s="53"/>
      <c r="C464" s="53"/>
      <c r="D464" s="53"/>
      <c r="E464" s="53" t="s">
        <v>12</v>
      </c>
      <c r="F464" s="53" t="e">
        <f>VLOOKUP(E464,'Price indx'!#REF!,3,FALSE)</f>
        <v>#REF!</v>
      </c>
      <c r="G464" s="53"/>
      <c r="H464" s="52" t="e">
        <f t="shared" si="24"/>
        <v>#REF!</v>
      </c>
      <c r="I464" s="54" t="e">
        <f t="shared" si="25"/>
        <v>#REF!</v>
      </c>
      <c r="J464" s="48">
        <v>0</v>
      </c>
      <c r="K464" s="52">
        <f t="shared" si="23"/>
        <v>0</v>
      </c>
      <c r="L464" s="53"/>
      <c r="M464" s="53"/>
      <c r="N464" s="53"/>
      <c r="O464" s="53"/>
      <c r="P464" s="53"/>
      <c r="Q464" s="53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53"/>
      <c r="AG464" s="53"/>
      <c r="AH464" s="53"/>
    </row>
    <row r="465" spans="1:34" x14ac:dyDescent="0.25">
      <c r="A465" s="53"/>
      <c r="B465" s="53"/>
      <c r="C465" s="53"/>
      <c r="D465" s="53"/>
      <c r="E465" s="53" t="s">
        <v>12</v>
      </c>
      <c r="F465" s="53" t="e">
        <f>VLOOKUP(E465,'Price indx'!#REF!,3,FALSE)</f>
        <v>#REF!</v>
      </c>
      <c r="G465" s="53"/>
      <c r="H465" s="52" t="e">
        <f t="shared" si="24"/>
        <v>#REF!</v>
      </c>
      <c r="I465" s="54" t="e">
        <f t="shared" si="25"/>
        <v>#REF!</v>
      </c>
      <c r="J465" s="48">
        <v>0</v>
      </c>
      <c r="K465" s="52">
        <f t="shared" si="23"/>
        <v>0</v>
      </c>
      <c r="L465" s="53"/>
      <c r="M465" s="53"/>
      <c r="N465" s="53"/>
      <c r="O465" s="53"/>
      <c r="P465" s="53"/>
      <c r="Q465" s="53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53"/>
      <c r="AG465" s="53"/>
      <c r="AH465" s="53"/>
    </row>
    <row r="466" spans="1:34" x14ac:dyDescent="0.25">
      <c r="A466" s="53"/>
      <c r="B466" s="53"/>
      <c r="C466" s="53"/>
      <c r="D466" s="53"/>
      <c r="E466" s="53" t="s">
        <v>12</v>
      </c>
      <c r="F466" s="53" t="e">
        <f>VLOOKUP(E466,'Price indx'!#REF!,3,FALSE)</f>
        <v>#REF!</v>
      </c>
      <c r="G466" s="53"/>
      <c r="H466" s="52" t="e">
        <f t="shared" si="24"/>
        <v>#REF!</v>
      </c>
      <c r="I466" s="54" t="e">
        <f t="shared" si="25"/>
        <v>#REF!</v>
      </c>
      <c r="J466" s="48">
        <v>0</v>
      </c>
      <c r="K466" s="52">
        <f t="shared" si="23"/>
        <v>0</v>
      </c>
      <c r="L466" s="53"/>
      <c r="M466" s="53"/>
      <c r="N466" s="53"/>
      <c r="O466" s="53"/>
      <c r="P466" s="53"/>
      <c r="Q466" s="53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53"/>
      <c r="AG466" s="53"/>
      <c r="AH466" s="53"/>
    </row>
    <row r="467" spans="1:34" x14ac:dyDescent="0.25">
      <c r="A467" s="53"/>
      <c r="B467" s="53"/>
      <c r="C467" s="53"/>
      <c r="D467" s="53"/>
      <c r="E467" s="53" t="s">
        <v>12</v>
      </c>
      <c r="F467" s="53" t="e">
        <f>VLOOKUP(E467,'Price indx'!#REF!,3,FALSE)</f>
        <v>#REF!</v>
      </c>
      <c r="G467" s="53"/>
      <c r="H467" s="52" t="e">
        <f t="shared" si="24"/>
        <v>#REF!</v>
      </c>
      <c r="I467" s="54" t="e">
        <f t="shared" si="25"/>
        <v>#REF!</v>
      </c>
      <c r="J467" s="48">
        <v>0</v>
      </c>
      <c r="K467" s="52">
        <f t="shared" si="23"/>
        <v>0</v>
      </c>
      <c r="L467" s="53"/>
      <c r="M467" s="53"/>
      <c r="N467" s="53"/>
      <c r="O467" s="53"/>
      <c r="P467" s="53"/>
      <c r="Q467" s="53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53"/>
      <c r="AG467" s="53"/>
      <c r="AH467" s="53"/>
    </row>
    <row r="468" spans="1:34" x14ac:dyDescent="0.25">
      <c r="A468" s="53"/>
      <c r="B468" s="53"/>
      <c r="C468" s="53"/>
      <c r="D468" s="53"/>
      <c r="E468" s="53" t="s">
        <v>12</v>
      </c>
      <c r="F468" s="53" t="e">
        <f>VLOOKUP(E468,'Price indx'!#REF!,3,FALSE)</f>
        <v>#REF!</v>
      </c>
      <c r="G468" s="53"/>
      <c r="H468" s="52" t="e">
        <f t="shared" si="24"/>
        <v>#REF!</v>
      </c>
      <c r="I468" s="54" t="e">
        <f t="shared" si="25"/>
        <v>#REF!</v>
      </c>
      <c r="J468" s="48">
        <v>0</v>
      </c>
      <c r="K468" s="52">
        <f t="shared" si="23"/>
        <v>0</v>
      </c>
      <c r="L468" s="53"/>
      <c r="M468" s="53"/>
      <c r="N468" s="53"/>
      <c r="O468" s="53"/>
      <c r="P468" s="53"/>
      <c r="Q468" s="53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53"/>
      <c r="AG468" s="53"/>
      <c r="AH468" s="53"/>
    </row>
    <row r="469" spans="1:34" x14ac:dyDescent="0.25">
      <c r="A469" s="53"/>
      <c r="B469" s="53"/>
      <c r="C469" s="53"/>
      <c r="D469" s="53"/>
      <c r="E469" s="53" t="s">
        <v>12</v>
      </c>
      <c r="F469" s="53" t="e">
        <f>VLOOKUP(E469,'Price indx'!#REF!,3,FALSE)</f>
        <v>#REF!</v>
      </c>
      <c r="G469" s="53"/>
      <c r="H469" s="52" t="e">
        <f t="shared" si="24"/>
        <v>#REF!</v>
      </c>
      <c r="I469" s="54" t="e">
        <f t="shared" si="25"/>
        <v>#REF!</v>
      </c>
      <c r="J469" s="48">
        <v>0</v>
      </c>
      <c r="K469" s="52">
        <f t="shared" si="23"/>
        <v>0</v>
      </c>
      <c r="L469" s="53"/>
      <c r="M469" s="53"/>
      <c r="N469" s="53"/>
      <c r="O469" s="53"/>
      <c r="P469" s="53"/>
      <c r="Q469" s="53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53"/>
      <c r="AG469" s="53"/>
      <c r="AH469" s="53"/>
    </row>
    <row r="470" spans="1:34" x14ac:dyDescent="0.25">
      <c r="A470" s="53"/>
      <c r="B470" s="53"/>
      <c r="C470" s="53"/>
      <c r="D470" s="53"/>
      <c r="E470" s="53" t="s">
        <v>12</v>
      </c>
      <c r="F470" s="53" t="e">
        <f>VLOOKUP(E470,'Price indx'!#REF!,3,FALSE)</f>
        <v>#REF!</v>
      </c>
      <c r="G470" s="53"/>
      <c r="H470" s="52" t="e">
        <f t="shared" si="24"/>
        <v>#REF!</v>
      </c>
      <c r="I470" s="54" t="e">
        <f t="shared" si="25"/>
        <v>#REF!</v>
      </c>
      <c r="J470" s="48">
        <v>0</v>
      </c>
      <c r="K470" s="52">
        <f t="shared" si="23"/>
        <v>0</v>
      </c>
      <c r="L470" s="53"/>
      <c r="M470" s="53"/>
      <c r="N470" s="53"/>
      <c r="O470" s="53"/>
      <c r="P470" s="53"/>
      <c r="Q470" s="53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53"/>
      <c r="AG470" s="53"/>
      <c r="AH470" s="53"/>
    </row>
    <row r="471" spans="1:34" x14ac:dyDescent="0.25">
      <c r="A471" s="53"/>
      <c r="B471" s="53"/>
      <c r="C471" s="53"/>
      <c r="D471" s="53"/>
      <c r="E471" s="53" t="s">
        <v>12</v>
      </c>
      <c r="F471" s="53" t="e">
        <f>VLOOKUP(E471,'Price indx'!#REF!,3,FALSE)</f>
        <v>#REF!</v>
      </c>
      <c r="G471" s="53"/>
      <c r="H471" s="52" t="e">
        <f t="shared" si="24"/>
        <v>#REF!</v>
      </c>
      <c r="I471" s="54" t="e">
        <f t="shared" si="25"/>
        <v>#REF!</v>
      </c>
      <c r="J471" s="48">
        <v>0</v>
      </c>
      <c r="K471" s="52">
        <f t="shared" si="23"/>
        <v>0</v>
      </c>
      <c r="L471" s="53"/>
      <c r="M471" s="53"/>
      <c r="N471" s="53"/>
      <c r="O471" s="53"/>
      <c r="P471" s="53"/>
      <c r="Q471" s="53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53"/>
      <c r="AG471" s="53"/>
      <c r="AH471" s="53"/>
    </row>
    <row r="472" spans="1:34" x14ac:dyDescent="0.25">
      <c r="A472" s="53"/>
      <c r="B472" s="53"/>
      <c r="C472" s="53"/>
      <c r="D472" s="53"/>
      <c r="E472" s="53" t="s">
        <v>12</v>
      </c>
      <c r="F472" s="53" t="e">
        <f>VLOOKUP(E472,'Price indx'!#REF!,3,FALSE)</f>
        <v>#REF!</v>
      </c>
      <c r="G472" s="53"/>
      <c r="H472" s="52" t="e">
        <f t="shared" si="24"/>
        <v>#REF!</v>
      </c>
      <c r="I472" s="54" t="e">
        <f t="shared" si="25"/>
        <v>#REF!</v>
      </c>
      <c r="J472" s="48">
        <v>0</v>
      </c>
      <c r="K472" s="52">
        <f t="shared" si="23"/>
        <v>0</v>
      </c>
      <c r="L472" s="53"/>
      <c r="M472" s="53"/>
      <c r="N472" s="53"/>
      <c r="O472" s="53"/>
      <c r="P472" s="53"/>
      <c r="Q472" s="53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53"/>
      <c r="AG472" s="53"/>
      <c r="AH472" s="53"/>
    </row>
    <row r="473" spans="1:34" x14ac:dyDescent="0.25">
      <c r="A473" s="53"/>
      <c r="B473" s="53"/>
      <c r="C473" s="53"/>
      <c r="D473" s="53"/>
      <c r="E473" s="53" t="s">
        <v>12</v>
      </c>
      <c r="F473" s="53" t="e">
        <f>VLOOKUP(E473,'Price indx'!#REF!,3,FALSE)</f>
        <v>#REF!</v>
      </c>
      <c r="G473" s="53"/>
      <c r="H473" s="52" t="e">
        <f t="shared" si="24"/>
        <v>#REF!</v>
      </c>
      <c r="I473" s="54" t="e">
        <f t="shared" si="25"/>
        <v>#REF!</v>
      </c>
      <c r="J473" s="48">
        <v>0</v>
      </c>
      <c r="K473" s="52">
        <f t="shared" si="23"/>
        <v>0</v>
      </c>
      <c r="L473" s="53"/>
      <c r="M473" s="53"/>
      <c r="N473" s="53"/>
      <c r="O473" s="53"/>
      <c r="P473" s="53"/>
      <c r="Q473" s="53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53"/>
      <c r="AG473" s="53"/>
      <c r="AH473" s="53"/>
    </row>
    <row r="474" spans="1:34" x14ac:dyDescent="0.25">
      <c r="A474" s="53"/>
      <c r="B474" s="53"/>
      <c r="C474" s="53"/>
      <c r="D474" s="53"/>
      <c r="E474" s="53" t="s">
        <v>12</v>
      </c>
      <c r="F474" s="53" t="e">
        <f>VLOOKUP(E474,'Price indx'!#REF!,3,FALSE)</f>
        <v>#REF!</v>
      </c>
      <c r="G474" s="53"/>
      <c r="H474" s="52" t="e">
        <f t="shared" si="24"/>
        <v>#REF!</v>
      </c>
      <c r="I474" s="54" t="e">
        <f t="shared" si="25"/>
        <v>#REF!</v>
      </c>
      <c r="J474" s="48">
        <v>0</v>
      </c>
      <c r="K474" s="52">
        <f t="shared" si="23"/>
        <v>0</v>
      </c>
      <c r="L474" s="53"/>
      <c r="M474" s="53"/>
      <c r="N474" s="53"/>
      <c r="O474" s="53"/>
      <c r="P474" s="53"/>
      <c r="Q474" s="53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53"/>
      <c r="AG474" s="53"/>
      <c r="AH474" s="53"/>
    </row>
    <row r="475" spans="1:34" x14ac:dyDescent="0.25">
      <c r="A475" s="53"/>
      <c r="B475" s="53"/>
      <c r="C475" s="53"/>
      <c r="D475" s="53"/>
      <c r="E475" s="53" t="s">
        <v>12</v>
      </c>
      <c r="F475" s="53" t="e">
        <f>VLOOKUP(E475,'Price indx'!#REF!,3,FALSE)</f>
        <v>#REF!</v>
      </c>
      <c r="G475" s="53"/>
      <c r="H475" s="52" t="e">
        <f t="shared" si="24"/>
        <v>#REF!</v>
      </c>
      <c r="I475" s="54" t="e">
        <f t="shared" si="25"/>
        <v>#REF!</v>
      </c>
      <c r="J475" s="48">
        <v>0</v>
      </c>
      <c r="K475" s="52">
        <f t="shared" si="23"/>
        <v>0</v>
      </c>
      <c r="L475" s="53"/>
      <c r="M475" s="53"/>
      <c r="N475" s="53"/>
      <c r="O475" s="53"/>
      <c r="P475" s="53"/>
      <c r="Q475" s="53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53"/>
      <c r="AG475" s="53"/>
      <c r="AH475" s="53"/>
    </row>
    <row r="476" spans="1:34" x14ac:dyDescent="0.25">
      <c r="A476" s="53"/>
      <c r="B476" s="53"/>
      <c r="C476" s="53"/>
      <c r="D476" s="53"/>
      <c r="E476" s="53" t="s">
        <v>12</v>
      </c>
      <c r="F476" s="53" t="e">
        <f>VLOOKUP(E476,'Price indx'!#REF!,3,FALSE)</f>
        <v>#REF!</v>
      </c>
      <c r="G476" s="53"/>
      <c r="H476" s="52" t="e">
        <f t="shared" si="24"/>
        <v>#REF!</v>
      </c>
      <c r="I476" s="54" t="e">
        <f t="shared" si="25"/>
        <v>#REF!</v>
      </c>
      <c r="J476" s="48">
        <v>0</v>
      </c>
      <c r="K476" s="52">
        <f t="shared" si="23"/>
        <v>0</v>
      </c>
      <c r="L476" s="53"/>
      <c r="M476" s="53"/>
      <c r="N476" s="53"/>
      <c r="O476" s="53"/>
      <c r="P476" s="53"/>
      <c r="Q476" s="53"/>
      <c r="R476" s="53"/>
      <c r="S476" s="53"/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53"/>
      <c r="AG476" s="53"/>
      <c r="AH476" s="53"/>
    </row>
    <row r="477" spans="1:34" x14ac:dyDescent="0.25">
      <c r="A477" s="53"/>
      <c r="B477" s="53"/>
      <c r="C477" s="53"/>
      <c r="D477" s="53"/>
      <c r="E477" s="53" t="s">
        <v>12</v>
      </c>
      <c r="F477" s="53" t="e">
        <f>VLOOKUP(E477,'Price indx'!#REF!,3,FALSE)</f>
        <v>#REF!</v>
      </c>
      <c r="G477" s="53"/>
      <c r="H477" s="52" t="e">
        <f t="shared" si="24"/>
        <v>#REF!</v>
      </c>
      <c r="I477" s="54" t="e">
        <f t="shared" si="25"/>
        <v>#REF!</v>
      </c>
      <c r="J477" s="48">
        <v>0</v>
      </c>
      <c r="K477" s="52">
        <f t="shared" si="23"/>
        <v>0</v>
      </c>
      <c r="L477" s="53"/>
      <c r="M477" s="53"/>
      <c r="N477" s="53"/>
      <c r="O477" s="53"/>
      <c r="P477" s="53"/>
      <c r="Q477" s="53"/>
      <c r="R477" s="53"/>
      <c r="S477" s="53"/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53"/>
      <c r="AG477" s="53"/>
      <c r="AH477" s="53"/>
    </row>
    <row r="478" spans="1:34" x14ac:dyDescent="0.25">
      <c r="A478" s="53"/>
      <c r="B478" s="53"/>
      <c r="C478" s="53"/>
      <c r="D478" s="53"/>
      <c r="E478" s="53" t="s">
        <v>12</v>
      </c>
      <c r="F478" s="53" t="e">
        <f>VLOOKUP(E478,'Price indx'!#REF!,3,FALSE)</f>
        <v>#REF!</v>
      </c>
      <c r="G478" s="53"/>
      <c r="H478" s="52" t="e">
        <f t="shared" si="24"/>
        <v>#REF!</v>
      </c>
      <c r="I478" s="54" t="e">
        <f t="shared" si="25"/>
        <v>#REF!</v>
      </c>
      <c r="J478" s="48">
        <v>0</v>
      </c>
      <c r="K478" s="52">
        <f t="shared" si="23"/>
        <v>0</v>
      </c>
      <c r="L478" s="53"/>
      <c r="M478" s="53"/>
      <c r="N478" s="53"/>
      <c r="O478" s="53"/>
      <c r="P478" s="53"/>
      <c r="Q478" s="53"/>
      <c r="R478" s="53"/>
      <c r="S478" s="53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53"/>
      <c r="AG478" s="53"/>
      <c r="AH478" s="53"/>
    </row>
    <row r="479" spans="1:34" x14ac:dyDescent="0.25">
      <c r="A479" s="53"/>
      <c r="B479" s="53"/>
      <c r="C479" s="53"/>
      <c r="D479" s="53"/>
      <c r="E479" s="53" t="s">
        <v>12</v>
      </c>
      <c r="F479" s="53" t="e">
        <f>VLOOKUP(E479,'Price indx'!#REF!,3,FALSE)</f>
        <v>#REF!</v>
      </c>
      <c r="G479" s="53"/>
      <c r="H479" s="52" t="e">
        <f t="shared" si="24"/>
        <v>#REF!</v>
      </c>
      <c r="I479" s="54" t="e">
        <f t="shared" si="25"/>
        <v>#REF!</v>
      </c>
      <c r="J479" s="48">
        <v>0</v>
      </c>
      <c r="K479" s="52">
        <f t="shared" si="23"/>
        <v>0</v>
      </c>
      <c r="L479" s="53"/>
      <c r="M479" s="53"/>
      <c r="N479" s="53"/>
      <c r="O479" s="53"/>
      <c r="P479" s="53"/>
      <c r="Q479" s="53"/>
      <c r="R479" s="53"/>
      <c r="S479" s="53"/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53"/>
      <c r="AG479" s="53"/>
      <c r="AH479" s="53"/>
    </row>
    <row r="480" spans="1:34" x14ac:dyDescent="0.25">
      <c r="A480" s="53"/>
      <c r="B480" s="53"/>
      <c r="C480" s="53"/>
      <c r="D480" s="53"/>
      <c r="E480" s="53" t="s">
        <v>12</v>
      </c>
      <c r="F480" s="53" t="e">
        <f>VLOOKUP(E480,'Price indx'!#REF!,3,FALSE)</f>
        <v>#REF!</v>
      </c>
      <c r="G480" s="53"/>
      <c r="H480" s="52" t="e">
        <f t="shared" si="24"/>
        <v>#REF!</v>
      </c>
      <c r="I480" s="54" t="e">
        <f t="shared" si="25"/>
        <v>#REF!</v>
      </c>
      <c r="J480" s="48">
        <v>0</v>
      </c>
      <c r="K480" s="52">
        <f t="shared" si="23"/>
        <v>0</v>
      </c>
      <c r="L480" s="53"/>
      <c r="M480" s="53"/>
      <c r="N480" s="53"/>
      <c r="O480" s="53"/>
      <c r="P480" s="53"/>
      <c r="Q480" s="53"/>
      <c r="R480" s="53"/>
      <c r="S480" s="53"/>
      <c r="T480" s="53"/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53"/>
      <c r="AG480" s="53"/>
      <c r="AH480" s="53"/>
    </row>
    <row r="481" spans="1:34" x14ac:dyDescent="0.25">
      <c r="A481" s="53"/>
      <c r="B481" s="53"/>
      <c r="C481" s="53"/>
      <c r="D481" s="53"/>
      <c r="E481" s="53" t="s">
        <v>12</v>
      </c>
      <c r="F481" s="53" t="e">
        <f>VLOOKUP(E481,'Price indx'!#REF!,3,FALSE)</f>
        <v>#REF!</v>
      </c>
      <c r="G481" s="53"/>
      <c r="H481" s="52" t="e">
        <f t="shared" si="24"/>
        <v>#REF!</v>
      </c>
      <c r="I481" s="54" t="e">
        <f t="shared" si="25"/>
        <v>#REF!</v>
      </c>
      <c r="J481" s="48">
        <v>0</v>
      </c>
      <c r="K481" s="52">
        <f t="shared" si="23"/>
        <v>0</v>
      </c>
      <c r="L481" s="53"/>
      <c r="M481" s="53"/>
      <c r="N481" s="53"/>
      <c r="O481" s="53"/>
      <c r="P481" s="53"/>
      <c r="Q481" s="53"/>
      <c r="R481" s="53"/>
      <c r="S481" s="53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/>
      <c r="AF481" s="53"/>
      <c r="AG481" s="53"/>
      <c r="AH481" s="53"/>
    </row>
    <row r="482" spans="1:34" x14ac:dyDescent="0.25">
      <c r="A482" s="53"/>
      <c r="B482" s="53"/>
      <c r="C482" s="53"/>
      <c r="D482" s="53"/>
      <c r="E482" s="53" t="s">
        <v>12</v>
      </c>
      <c r="F482" s="53" t="e">
        <f>VLOOKUP(E482,'Price indx'!#REF!,3,FALSE)</f>
        <v>#REF!</v>
      </c>
      <c r="G482" s="53"/>
      <c r="H482" s="52" t="e">
        <f t="shared" si="24"/>
        <v>#REF!</v>
      </c>
      <c r="I482" s="54" t="e">
        <f t="shared" si="25"/>
        <v>#REF!</v>
      </c>
      <c r="J482" s="48">
        <v>0</v>
      </c>
      <c r="K482" s="52">
        <f t="shared" si="23"/>
        <v>0</v>
      </c>
      <c r="L482" s="53"/>
      <c r="M482" s="53"/>
      <c r="N482" s="53"/>
      <c r="O482" s="53"/>
      <c r="P482" s="53"/>
      <c r="Q482" s="53"/>
      <c r="R482" s="53"/>
      <c r="S482" s="53"/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53"/>
      <c r="AG482" s="53"/>
      <c r="AH482" s="53"/>
    </row>
    <row r="483" spans="1:34" x14ac:dyDescent="0.25">
      <c r="A483" s="53"/>
      <c r="B483" s="53"/>
      <c r="C483" s="53"/>
      <c r="D483" s="53"/>
      <c r="E483" s="53" t="s">
        <v>12</v>
      </c>
      <c r="F483" s="53" t="e">
        <f>VLOOKUP(E483,'Price indx'!#REF!,3,FALSE)</f>
        <v>#REF!</v>
      </c>
      <c r="G483" s="53"/>
      <c r="H483" s="52" t="e">
        <f t="shared" si="24"/>
        <v>#REF!</v>
      </c>
      <c r="I483" s="54" t="e">
        <f t="shared" si="25"/>
        <v>#REF!</v>
      </c>
      <c r="J483" s="48">
        <v>0</v>
      </c>
      <c r="K483" s="52">
        <f t="shared" si="23"/>
        <v>0</v>
      </c>
      <c r="L483" s="53"/>
      <c r="M483" s="53"/>
      <c r="N483" s="53"/>
      <c r="O483" s="53"/>
      <c r="P483" s="53"/>
      <c r="Q483" s="53"/>
      <c r="R483" s="53"/>
      <c r="S483" s="53"/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53"/>
      <c r="AG483" s="53"/>
      <c r="AH483" s="53"/>
    </row>
    <row r="484" spans="1:34" x14ac:dyDescent="0.25">
      <c r="A484" s="53"/>
      <c r="B484" s="53"/>
      <c r="C484" s="53"/>
      <c r="D484" s="53"/>
      <c r="E484" s="53" t="s">
        <v>12</v>
      </c>
      <c r="F484" s="53" t="e">
        <f>VLOOKUP(E484,'Price indx'!#REF!,3,FALSE)</f>
        <v>#REF!</v>
      </c>
      <c r="G484" s="53"/>
      <c r="H484" s="52" t="e">
        <f t="shared" si="24"/>
        <v>#REF!</v>
      </c>
      <c r="I484" s="54" t="e">
        <f t="shared" si="25"/>
        <v>#REF!</v>
      </c>
      <c r="J484" s="48">
        <v>0</v>
      </c>
      <c r="K484" s="52">
        <f t="shared" si="23"/>
        <v>0</v>
      </c>
      <c r="L484" s="53"/>
      <c r="M484" s="53"/>
      <c r="N484" s="53"/>
      <c r="O484" s="53"/>
      <c r="P484" s="53"/>
      <c r="Q484" s="53"/>
      <c r="R484" s="53"/>
      <c r="S484" s="53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53"/>
      <c r="AG484" s="53"/>
      <c r="AH484" s="53"/>
    </row>
    <row r="485" spans="1:34" x14ac:dyDescent="0.25">
      <c r="A485" s="53"/>
      <c r="B485" s="53"/>
      <c r="C485" s="53"/>
      <c r="D485" s="53"/>
      <c r="E485" s="53" t="s">
        <v>12</v>
      </c>
      <c r="F485" s="53" t="e">
        <f>VLOOKUP(E485,'Price indx'!#REF!,3,FALSE)</f>
        <v>#REF!</v>
      </c>
      <c r="G485" s="53"/>
      <c r="H485" s="52" t="e">
        <f t="shared" si="24"/>
        <v>#REF!</v>
      </c>
      <c r="I485" s="54" t="e">
        <f t="shared" si="25"/>
        <v>#REF!</v>
      </c>
      <c r="J485" s="48">
        <v>0</v>
      </c>
      <c r="K485" s="52">
        <f t="shared" si="23"/>
        <v>0</v>
      </c>
      <c r="L485" s="53"/>
      <c r="M485" s="53"/>
      <c r="N485" s="53"/>
      <c r="O485" s="53"/>
      <c r="P485" s="53"/>
      <c r="Q485" s="53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53"/>
      <c r="AG485" s="53"/>
      <c r="AH485" s="53"/>
    </row>
    <row r="486" spans="1:34" x14ac:dyDescent="0.25">
      <c r="A486" s="53"/>
      <c r="B486" s="53"/>
      <c r="C486" s="53"/>
      <c r="D486" s="53"/>
      <c r="E486" s="53" t="s">
        <v>12</v>
      </c>
      <c r="F486" s="53" t="e">
        <f>VLOOKUP(E486,'Price indx'!#REF!,3,FALSE)</f>
        <v>#REF!</v>
      </c>
      <c r="G486" s="53"/>
      <c r="H486" s="52" t="e">
        <f t="shared" si="24"/>
        <v>#REF!</v>
      </c>
      <c r="I486" s="54" t="e">
        <f t="shared" si="25"/>
        <v>#REF!</v>
      </c>
      <c r="J486" s="48">
        <v>0</v>
      </c>
      <c r="K486" s="52">
        <f t="shared" si="23"/>
        <v>0</v>
      </c>
      <c r="L486" s="53"/>
      <c r="M486" s="53"/>
      <c r="N486" s="53"/>
      <c r="O486" s="53"/>
      <c r="P486" s="53"/>
      <c r="Q486" s="53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53"/>
      <c r="AG486" s="53"/>
      <c r="AH486" s="53"/>
    </row>
    <row r="487" spans="1:34" x14ac:dyDescent="0.25">
      <c r="A487" s="53"/>
      <c r="B487" s="53"/>
      <c r="C487" s="53"/>
      <c r="D487" s="53"/>
      <c r="E487" s="53" t="s">
        <v>12</v>
      </c>
      <c r="F487" s="53" t="e">
        <f>VLOOKUP(E487,'Price indx'!#REF!,3,FALSE)</f>
        <v>#REF!</v>
      </c>
      <c r="G487" s="53"/>
      <c r="H487" s="52" t="e">
        <f t="shared" si="24"/>
        <v>#REF!</v>
      </c>
      <c r="I487" s="54" t="e">
        <f t="shared" si="25"/>
        <v>#REF!</v>
      </c>
      <c r="J487" s="48">
        <v>0</v>
      </c>
      <c r="K487" s="52">
        <f t="shared" si="23"/>
        <v>0</v>
      </c>
      <c r="L487" s="53"/>
      <c r="M487" s="53"/>
      <c r="N487" s="53"/>
      <c r="O487" s="53"/>
      <c r="P487" s="53"/>
      <c r="Q487" s="53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53"/>
      <c r="AG487" s="53"/>
      <c r="AH487" s="53"/>
    </row>
    <row r="488" spans="1:34" x14ac:dyDescent="0.25">
      <c r="A488" s="6"/>
      <c r="B488" s="6"/>
      <c r="C488" s="6"/>
      <c r="D488" s="6"/>
      <c r="E488" s="23" t="s">
        <v>12</v>
      </c>
      <c r="F488" s="23" t="e">
        <f>VLOOKUP(E488,'Price indx'!#REF!,3,FALSE)</f>
        <v>#REF!</v>
      </c>
      <c r="G488" s="6"/>
      <c r="H488" s="7" t="e">
        <f t="shared" si="24"/>
        <v>#REF!</v>
      </c>
      <c r="I488" s="24" t="e">
        <f t="shared" si="25"/>
        <v>#REF!</v>
      </c>
      <c r="J488" s="48">
        <v>0</v>
      </c>
      <c r="K488" s="7">
        <f t="shared" si="23"/>
        <v>0</v>
      </c>
      <c r="L488" s="6"/>
      <c r="M488" s="6"/>
      <c r="N488" s="6"/>
      <c r="O488" s="6"/>
      <c r="P488" s="6"/>
      <c r="Q488" s="6"/>
      <c r="R488" s="6"/>
      <c r="S488" s="6"/>
    </row>
    <row r="489" spans="1:34" x14ac:dyDescent="0.25">
      <c r="A489" s="6"/>
      <c r="B489" s="6"/>
      <c r="C489" s="6"/>
      <c r="D489" s="6"/>
      <c r="E489" s="23" t="s">
        <v>12</v>
      </c>
      <c r="F489" s="23" t="e">
        <f>VLOOKUP(E489,'Price indx'!#REF!,3,FALSE)</f>
        <v>#REF!</v>
      </c>
      <c r="G489" s="6"/>
      <c r="H489" s="7" t="e">
        <f t="shared" si="24"/>
        <v>#REF!</v>
      </c>
      <c r="I489" s="24" t="e">
        <f t="shared" si="25"/>
        <v>#REF!</v>
      </c>
      <c r="J489" s="48">
        <v>0</v>
      </c>
      <c r="K489" s="7">
        <f t="shared" si="23"/>
        <v>0</v>
      </c>
      <c r="L489" s="6"/>
      <c r="M489" s="6"/>
      <c r="N489" s="6"/>
      <c r="O489" s="6"/>
      <c r="P489" s="6"/>
      <c r="Q489" s="6"/>
      <c r="R489" s="6"/>
      <c r="S489" s="6"/>
    </row>
    <row r="490" spans="1:34" x14ac:dyDescent="0.25">
      <c r="A490" s="6"/>
      <c r="B490" s="6"/>
      <c r="C490" s="6"/>
      <c r="D490" s="6"/>
      <c r="E490" s="23" t="s">
        <v>12</v>
      </c>
      <c r="F490" s="23" t="e">
        <f>VLOOKUP(E490,'Price indx'!#REF!,3,FALSE)</f>
        <v>#REF!</v>
      </c>
      <c r="G490" s="6"/>
      <c r="H490" s="7" t="e">
        <f t="shared" si="24"/>
        <v>#REF!</v>
      </c>
      <c r="I490" s="24" t="e">
        <f t="shared" si="25"/>
        <v>#REF!</v>
      </c>
      <c r="J490" s="48">
        <v>0</v>
      </c>
      <c r="K490" s="7">
        <f t="shared" si="23"/>
        <v>0</v>
      </c>
      <c r="L490" s="6"/>
      <c r="M490" s="6"/>
      <c r="N490" s="6"/>
      <c r="O490" s="6"/>
      <c r="P490" s="6"/>
      <c r="Q490" s="6"/>
      <c r="R490" s="6"/>
      <c r="S490" s="6"/>
    </row>
    <row r="491" spans="1:34" x14ac:dyDescent="0.25">
      <c r="A491" s="6"/>
      <c r="B491" s="6"/>
      <c r="C491" s="6"/>
      <c r="D491" s="6"/>
      <c r="E491" s="23" t="s">
        <v>12</v>
      </c>
      <c r="F491" s="23" t="e">
        <f>VLOOKUP(E491,'Price indx'!#REF!,3,FALSE)</f>
        <v>#REF!</v>
      </c>
      <c r="G491" s="6"/>
      <c r="H491" s="7" t="e">
        <f t="shared" si="24"/>
        <v>#REF!</v>
      </c>
      <c r="I491" s="24" t="e">
        <f t="shared" si="25"/>
        <v>#REF!</v>
      </c>
      <c r="J491" s="48">
        <v>0</v>
      </c>
      <c r="K491" s="7">
        <f t="shared" si="23"/>
        <v>0</v>
      </c>
      <c r="L491" s="6"/>
      <c r="M491" s="6"/>
      <c r="N491" s="6"/>
      <c r="O491" s="6"/>
      <c r="P491" s="6"/>
      <c r="Q491" s="6"/>
      <c r="R491" s="6"/>
      <c r="S491" s="6"/>
    </row>
    <row r="492" spans="1:34" x14ac:dyDescent="0.25">
      <c r="A492" s="6"/>
      <c r="B492" s="6"/>
      <c r="C492" s="6"/>
      <c r="D492" s="6"/>
      <c r="E492" s="23" t="s">
        <v>12</v>
      </c>
      <c r="F492" s="23" t="e">
        <f>VLOOKUP(E492,'Price indx'!#REF!,3,FALSE)</f>
        <v>#REF!</v>
      </c>
      <c r="G492" s="6"/>
      <c r="H492" s="7" t="e">
        <f t="shared" si="24"/>
        <v>#REF!</v>
      </c>
      <c r="I492" s="24" t="e">
        <f t="shared" si="25"/>
        <v>#REF!</v>
      </c>
      <c r="J492" s="48">
        <v>0</v>
      </c>
      <c r="K492" s="7">
        <f t="shared" si="23"/>
        <v>0</v>
      </c>
      <c r="L492" s="6"/>
      <c r="M492" s="6"/>
      <c r="N492" s="6"/>
      <c r="O492" s="6"/>
      <c r="P492" s="6"/>
      <c r="Q492" s="6"/>
      <c r="R492" s="6"/>
      <c r="S492" s="6"/>
    </row>
    <row r="493" spans="1:34" x14ac:dyDescent="0.25">
      <c r="A493" s="6"/>
      <c r="B493" s="6"/>
      <c r="C493" s="6"/>
      <c r="D493" s="6"/>
      <c r="E493" s="23" t="s">
        <v>12</v>
      </c>
      <c r="F493" s="23" t="e">
        <f>VLOOKUP(E493,'Price indx'!#REF!,3,FALSE)</f>
        <v>#REF!</v>
      </c>
      <c r="G493" s="6"/>
      <c r="H493" s="7" t="e">
        <f t="shared" si="24"/>
        <v>#REF!</v>
      </c>
      <c r="I493" s="24" t="e">
        <f t="shared" si="25"/>
        <v>#REF!</v>
      </c>
      <c r="J493" s="48">
        <v>0</v>
      </c>
      <c r="K493" s="7">
        <f t="shared" si="23"/>
        <v>0</v>
      </c>
      <c r="L493" s="6"/>
      <c r="M493" s="6"/>
      <c r="N493" s="6"/>
      <c r="O493" s="6"/>
      <c r="P493" s="6"/>
      <c r="Q493" s="6"/>
      <c r="R493" s="6"/>
      <c r="S493" s="6"/>
    </row>
    <row r="494" spans="1:34" x14ac:dyDescent="0.25">
      <c r="A494" s="6"/>
      <c r="B494" s="6"/>
      <c r="C494" s="6"/>
      <c r="D494" s="6"/>
      <c r="E494" s="23" t="s">
        <v>12</v>
      </c>
      <c r="F494" s="23" t="e">
        <f>VLOOKUP(E494,'Price indx'!#REF!,3,FALSE)</f>
        <v>#REF!</v>
      </c>
      <c r="G494" s="6"/>
      <c r="H494" s="7" t="e">
        <f t="shared" si="24"/>
        <v>#REF!</v>
      </c>
      <c r="I494" s="24" t="e">
        <f t="shared" si="25"/>
        <v>#REF!</v>
      </c>
      <c r="J494" s="48">
        <v>0</v>
      </c>
      <c r="K494" s="7">
        <f t="shared" si="23"/>
        <v>0</v>
      </c>
      <c r="L494" s="6"/>
      <c r="M494" s="6"/>
      <c r="N494" s="6"/>
      <c r="O494" s="6"/>
      <c r="P494" s="6"/>
      <c r="Q494" s="6"/>
      <c r="R494" s="6"/>
      <c r="S494" s="6"/>
    </row>
    <row r="495" spans="1:34" x14ac:dyDescent="0.25">
      <c r="A495" s="6"/>
      <c r="B495" s="6"/>
      <c r="C495" s="6"/>
      <c r="D495" s="6"/>
      <c r="E495" s="23" t="s">
        <v>12</v>
      </c>
      <c r="F495" s="23" t="e">
        <f>VLOOKUP(E495,'Price indx'!#REF!,3,FALSE)</f>
        <v>#REF!</v>
      </c>
      <c r="G495" s="6"/>
      <c r="H495" s="7" t="e">
        <f t="shared" si="24"/>
        <v>#REF!</v>
      </c>
      <c r="I495" s="24" t="e">
        <f t="shared" si="25"/>
        <v>#REF!</v>
      </c>
      <c r="J495" s="48">
        <v>0</v>
      </c>
      <c r="K495" s="7">
        <f t="shared" si="23"/>
        <v>0</v>
      </c>
      <c r="L495" s="6"/>
      <c r="M495" s="6"/>
      <c r="N495" s="6"/>
      <c r="O495" s="6"/>
      <c r="P495" s="6"/>
      <c r="Q495" s="6"/>
      <c r="R495" s="6"/>
      <c r="S495" s="6"/>
    </row>
    <row r="496" spans="1:34" x14ac:dyDescent="0.25">
      <c r="A496" s="6"/>
      <c r="B496" s="6"/>
      <c r="C496" s="6"/>
      <c r="D496" s="6"/>
      <c r="E496" s="23" t="s">
        <v>12</v>
      </c>
      <c r="F496" s="23" t="e">
        <f>VLOOKUP(E496,'Price indx'!#REF!,3,FALSE)</f>
        <v>#REF!</v>
      </c>
      <c r="G496" s="6"/>
      <c r="H496" s="7" t="e">
        <f t="shared" si="24"/>
        <v>#REF!</v>
      </c>
      <c r="I496" s="24" t="e">
        <f t="shared" si="25"/>
        <v>#REF!</v>
      </c>
      <c r="J496" s="48">
        <v>0</v>
      </c>
      <c r="K496" s="7">
        <f t="shared" si="23"/>
        <v>0</v>
      </c>
      <c r="L496" s="6"/>
      <c r="M496" s="6"/>
      <c r="N496" s="6"/>
      <c r="O496" s="6"/>
      <c r="P496" s="6"/>
      <c r="Q496" s="6"/>
      <c r="R496" s="6"/>
      <c r="S496" s="6"/>
    </row>
    <row r="497" spans="1:19" x14ac:dyDescent="0.25">
      <c r="A497" s="6"/>
      <c r="B497" s="6"/>
      <c r="C497" s="6"/>
      <c r="D497" s="6"/>
      <c r="E497" s="23" t="s">
        <v>12</v>
      </c>
      <c r="F497" s="23" t="e">
        <f>VLOOKUP(E497,'Price indx'!#REF!,3,FALSE)</f>
        <v>#REF!</v>
      </c>
      <c r="G497" s="6"/>
      <c r="H497" s="7" t="e">
        <f t="shared" si="24"/>
        <v>#REF!</v>
      </c>
      <c r="I497" s="24" t="e">
        <f t="shared" si="25"/>
        <v>#REF!</v>
      </c>
      <c r="J497" s="48">
        <v>0</v>
      </c>
      <c r="K497" s="7">
        <f t="shared" si="23"/>
        <v>0</v>
      </c>
      <c r="L497" s="6"/>
      <c r="M497" s="6"/>
      <c r="N497" s="6"/>
      <c r="O497" s="6"/>
      <c r="P497" s="6"/>
      <c r="Q497" s="6"/>
      <c r="R497" s="6"/>
      <c r="S497" s="6"/>
    </row>
    <row r="498" spans="1:19" x14ac:dyDescent="0.25">
      <c r="A498" s="6"/>
      <c r="B498" s="6"/>
      <c r="C498" s="6"/>
      <c r="D498" s="6"/>
      <c r="E498" s="23" t="s">
        <v>12</v>
      </c>
      <c r="F498" s="23" t="e">
        <f>VLOOKUP(E498,'Price indx'!#REF!,3,FALSE)</f>
        <v>#REF!</v>
      </c>
      <c r="G498" s="6"/>
      <c r="H498" s="7" t="e">
        <f t="shared" si="24"/>
        <v>#REF!</v>
      </c>
      <c r="I498" s="24" t="e">
        <f t="shared" si="25"/>
        <v>#REF!</v>
      </c>
      <c r="J498" s="48">
        <v>0</v>
      </c>
      <c r="K498" s="7">
        <f t="shared" si="23"/>
        <v>0</v>
      </c>
      <c r="L498" s="6"/>
      <c r="M498" s="6"/>
      <c r="N498" s="6"/>
      <c r="O498" s="6"/>
      <c r="P498" s="6"/>
      <c r="Q498" s="6"/>
      <c r="R498" s="6"/>
      <c r="S498" s="6"/>
    </row>
    <row r="499" spans="1:19" x14ac:dyDescent="0.25">
      <c r="A499" s="6"/>
      <c r="B499" s="6"/>
      <c r="C499" s="6"/>
      <c r="D499" s="6"/>
      <c r="E499" s="23" t="s">
        <v>12</v>
      </c>
      <c r="F499" s="23" t="e">
        <f>VLOOKUP(E499,'Price indx'!#REF!,3,FALSE)</f>
        <v>#REF!</v>
      </c>
      <c r="G499" s="6"/>
      <c r="H499" s="7" t="e">
        <f t="shared" si="24"/>
        <v>#REF!</v>
      </c>
      <c r="I499" s="24" t="e">
        <f t="shared" si="25"/>
        <v>#REF!</v>
      </c>
      <c r="J499" s="48">
        <v>0</v>
      </c>
      <c r="K499" s="7">
        <f t="shared" si="23"/>
        <v>0</v>
      </c>
      <c r="L499" s="6"/>
      <c r="M499" s="6"/>
      <c r="N499" s="6"/>
      <c r="O499" s="6"/>
      <c r="P499" s="6"/>
      <c r="Q499" s="6"/>
      <c r="R499" s="6"/>
      <c r="S499" s="6"/>
    </row>
    <row r="500" spans="1:19" x14ac:dyDescent="0.25">
      <c r="A500" s="6"/>
      <c r="B500" s="6"/>
      <c r="C500" s="6"/>
      <c r="D500" s="6"/>
      <c r="E500" s="23" t="s">
        <v>12</v>
      </c>
      <c r="F500" s="23" t="e">
        <f>VLOOKUP(E500,'Price indx'!#REF!,3,FALSE)</f>
        <v>#REF!</v>
      </c>
      <c r="G500" s="6"/>
      <c r="H500" s="7" t="e">
        <f t="shared" si="24"/>
        <v>#REF!</v>
      </c>
      <c r="I500" s="24" t="e">
        <f t="shared" si="25"/>
        <v>#REF!</v>
      </c>
      <c r="J500" s="48">
        <v>0</v>
      </c>
      <c r="K500" s="7">
        <f t="shared" si="23"/>
        <v>0</v>
      </c>
      <c r="L500" s="6"/>
      <c r="M500" s="6"/>
      <c r="N500" s="6"/>
      <c r="O500" s="6"/>
      <c r="P500" s="6"/>
      <c r="Q500" s="6"/>
      <c r="R500" s="6"/>
      <c r="S500" s="6"/>
    </row>
    <row r="501" spans="1:19" x14ac:dyDescent="0.25">
      <c r="E501" t="s">
        <v>10</v>
      </c>
      <c r="F501" t="e">
        <f>VLOOKUP(E501,'Price indx'!#REF!,3,FALSE)</f>
        <v>#REF!</v>
      </c>
      <c r="H501" s="4" t="e">
        <f t="shared" si="24"/>
        <v>#REF!</v>
      </c>
      <c r="I501" s="5" t="e">
        <f t="shared" ref="I453:I516" si="26">H501/C501-1</f>
        <v>#REF!</v>
      </c>
    </row>
    <row r="502" spans="1:19" x14ac:dyDescent="0.25">
      <c r="E502" t="s">
        <v>10</v>
      </c>
      <c r="F502" t="e">
        <f>VLOOKUP(E502,'Price indx'!#REF!,3,FALSE)</f>
        <v>#REF!</v>
      </c>
      <c r="H502" s="4" t="e">
        <f t="shared" si="24"/>
        <v>#REF!</v>
      </c>
      <c r="I502" s="5" t="e">
        <f t="shared" si="26"/>
        <v>#REF!</v>
      </c>
    </row>
    <row r="503" spans="1:19" x14ac:dyDescent="0.25">
      <c r="E503" t="s">
        <v>10</v>
      </c>
      <c r="F503" t="e">
        <f>VLOOKUP(E503,'Price indx'!#REF!,3,FALSE)</f>
        <v>#REF!</v>
      </c>
      <c r="H503" s="4" t="e">
        <f t="shared" si="24"/>
        <v>#REF!</v>
      </c>
      <c r="I503" s="5" t="e">
        <f t="shared" si="26"/>
        <v>#REF!</v>
      </c>
    </row>
    <row r="504" spans="1:19" x14ac:dyDescent="0.25">
      <c r="E504" t="s">
        <v>10</v>
      </c>
      <c r="F504" t="e">
        <f>VLOOKUP(E504,'Price indx'!#REF!,3,FALSE)</f>
        <v>#REF!</v>
      </c>
      <c r="H504" s="4" t="e">
        <f t="shared" si="24"/>
        <v>#REF!</v>
      </c>
      <c r="I504" s="5" t="e">
        <f t="shared" si="26"/>
        <v>#REF!</v>
      </c>
    </row>
    <row r="505" spans="1:19" x14ac:dyDescent="0.25">
      <c r="E505" t="s">
        <v>10</v>
      </c>
      <c r="F505" t="e">
        <f>VLOOKUP(E505,'Price indx'!#REF!,3,FALSE)</f>
        <v>#REF!</v>
      </c>
      <c r="H505" s="4" t="e">
        <f t="shared" si="24"/>
        <v>#REF!</v>
      </c>
      <c r="I505" s="5" t="e">
        <f t="shared" si="26"/>
        <v>#REF!</v>
      </c>
    </row>
    <row r="506" spans="1:19" x14ac:dyDescent="0.25">
      <c r="E506" t="s">
        <v>10</v>
      </c>
      <c r="F506" t="e">
        <f>VLOOKUP(E506,'Price indx'!#REF!,3,FALSE)</f>
        <v>#REF!</v>
      </c>
      <c r="H506" s="4" t="e">
        <f t="shared" si="24"/>
        <v>#REF!</v>
      </c>
      <c r="I506" s="5" t="e">
        <f t="shared" si="26"/>
        <v>#REF!</v>
      </c>
    </row>
    <row r="507" spans="1:19" x14ac:dyDescent="0.25">
      <c r="E507" t="s">
        <v>10</v>
      </c>
      <c r="F507" t="e">
        <f>VLOOKUP(E507,'Price indx'!#REF!,3,FALSE)</f>
        <v>#REF!</v>
      </c>
      <c r="H507" s="4" t="e">
        <f t="shared" si="24"/>
        <v>#REF!</v>
      </c>
      <c r="I507" s="5" t="e">
        <f t="shared" si="26"/>
        <v>#REF!</v>
      </c>
    </row>
    <row r="508" spans="1:19" x14ac:dyDescent="0.25">
      <c r="E508" t="s">
        <v>10</v>
      </c>
      <c r="F508" t="e">
        <f>VLOOKUP(E508,'Price indx'!#REF!,3,FALSE)</f>
        <v>#REF!</v>
      </c>
      <c r="H508" s="4" t="e">
        <f t="shared" si="24"/>
        <v>#REF!</v>
      </c>
      <c r="I508" s="5" t="e">
        <f t="shared" si="26"/>
        <v>#REF!</v>
      </c>
    </row>
    <row r="509" spans="1:19" x14ac:dyDescent="0.25">
      <c r="E509" t="s">
        <v>10</v>
      </c>
      <c r="F509" t="e">
        <f>VLOOKUP(E509,'Price indx'!#REF!,3,FALSE)</f>
        <v>#REF!</v>
      </c>
      <c r="H509" s="4" t="e">
        <f t="shared" si="24"/>
        <v>#REF!</v>
      </c>
      <c r="I509" s="5" t="e">
        <f t="shared" si="26"/>
        <v>#REF!</v>
      </c>
    </row>
    <row r="510" spans="1:19" x14ac:dyDescent="0.25">
      <c r="E510" t="s">
        <v>10</v>
      </c>
      <c r="F510" t="e">
        <f>VLOOKUP(E510,'Price indx'!#REF!,3,FALSE)</f>
        <v>#REF!</v>
      </c>
      <c r="H510" s="4" t="e">
        <f t="shared" si="24"/>
        <v>#REF!</v>
      </c>
      <c r="I510" s="5" t="e">
        <f t="shared" si="26"/>
        <v>#REF!</v>
      </c>
    </row>
    <row r="511" spans="1:19" x14ac:dyDescent="0.25">
      <c r="E511" t="s">
        <v>10</v>
      </c>
      <c r="F511" t="e">
        <f>VLOOKUP(E511,'Price indx'!#REF!,3,FALSE)</f>
        <v>#REF!</v>
      </c>
      <c r="H511" s="4" t="e">
        <f t="shared" si="24"/>
        <v>#REF!</v>
      </c>
      <c r="I511" s="5" t="e">
        <f t="shared" si="26"/>
        <v>#REF!</v>
      </c>
    </row>
    <row r="512" spans="1:19" x14ac:dyDescent="0.25">
      <c r="E512" t="s">
        <v>10</v>
      </c>
      <c r="F512" t="e">
        <f>VLOOKUP(E512,'Price indx'!#REF!,3,FALSE)</f>
        <v>#REF!</v>
      </c>
      <c r="H512" s="4" t="e">
        <f t="shared" si="24"/>
        <v>#REF!</v>
      </c>
      <c r="I512" s="5" t="e">
        <f t="shared" si="26"/>
        <v>#REF!</v>
      </c>
    </row>
    <row r="513" spans="5:9" x14ac:dyDescent="0.25">
      <c r="E513" t="s">
        <v>10</v>
      </c>
      <c r="F513" t="e">
        <f>VLOOKUP(E513,'Price indx'!#REF!,3,FALSE)</f>
        <v>#REF!</v>
      </c>
      <c r="H513" s="4" t="e">
        <f t="shared" si="24"/>
        <v>#REF!</v>
      </c>
      <c r="I513" s="5" t="e">
        <f t="shared" si="26"/>
        <v>#REF!</v>
      </c>
    </row>
    <row r="514" spans="5:9" x14ac:dyDescent="0.25">
      <c r="E514" t="s">
        <v>10</v>
      </c>
      <c r="F514" t="e">
        <f>VLOOKUP(E514,'Price indx'!#REF!,3,FALSE)</f>
        <v>#REF!</v>
      </c>
      <c r="H514" s="4" t="e">
        <f t="shared" si="24"/>
        <v>#REF!</v>
      </c>
      <c r="I514" s="5" t="e">
        <f t="shared" si="26"/>
        <v>#REF!</v>
      </c>
    </row>
    <row r="515" spans="5:9" x14ac:dyDescent="0.25">
      <c r="E515" t="s">
        <v>10</v>
      </c>
      <c r="F515" t="e">
        <f>VLOOKUP(E515,'Price indx'!#REF!,3,FALSE)</f>
        <v>#REF!</v>
      </c>
      <c r="H515" s="4" t="e">
        <f t="shared" si="24"/>
        <v>#REF!</v>
      </c>
      <c r="I515" s="5" t="e">
        <f t="shared" si="26"/>
        <v>#REF!</v>
      </c>
    </row>
    <row r="516" spans="5:9" x14ac:dyDescent="0.25">
      <c r="E516" t="s">
        <v>10</v>
      </c>
      <c r="F516" t="e">
        <f>VLOOKUP(E516,'Price indx'!#REF!,3,FALSE)</f>
        <v>#REF!</v>
      </c>
      <c r="H516" s="4" t="e">
        <f t="shared" si="24"/>
        <v>#REF!</v>
      </c>
      <c r="I516" s="5" t="e">
        <f t="shared" si="26"/>
        <v>#REF!</v>
      </c>
    </row>
    <row r="517" spans="5:9" x14ac:dyDescent="0.25">
      <c r="E517" t="s">
        <v>10</v>
      </c>
      <c r="F517" t="e">
        <f>VLOOKUP(E517,'Price indx'!#REF!,3,FALSE)</f>
        <v>#REF!</v>
      </c>
      <c r="H517" s="4" t="e">
        <f t="shared" ref="H517:H526" si="27">G517*F517</f>
        <v>#REF!</v>
      </c>
      <c r="I517" s="5" t="e">
        <f t="shared" ref="I517:I526" si="28">H517/C517-1</f>
        <v>#REF!</v>
      </c>
    </row>
    <row r="518" spans="5:9" x14ac:dyDescent="0.25">
      <c r="E518" t="s">
        <v>10</v>
      </c>
      <c r="F518" t="e">
        <f>VLOOKUP(E518,'Price indx'!#REF!,3,FALSE)</f>
        <v>#REF!</v>
      </c>
      <c r="H518" s="4" t="e">
        <f t="shared" si="27"/>
        <v>#REF!</v>
      </c>
      <c r="I518" s="5" t="e">
        <f t="shared" si="28"/>
        <v>#REF!</v>
      </c>
    </row>
    <row r="519" spans="5:9" x14ac:dyDescent="0.25">
      <c r="E519" t="s">
        <v>10</v>
      </c>
      <c r="F519" t="e">
        <f>VLOOKUP(E519,'Price indx'!#REF!,3,FALSE)</f>
        <v>#REF!</v>
      </c>
      <c r="H519" s="4" t="e">
        <f t="shared" si="27"/>
        <v>#REF!</v>
      </c>
      <c r="I519" s="5" t="e">
        <f t="shared" si="28"/>
        <v>#REF!</v>
      </c>
    </row>
    <row r="520" spans="5:9" x14ac:dyDescent="0.25">
      <c r="E520" t="s">
        <v>10</v>
      </c>
      <c r="F520" t="e">
        <f>VLOOKUP(E520,'Price indx'!#REF!,3,FALSE)</f>
        <v>#REF!</v>
      </c>
      <c r="H520" s="4" t="e">
        <f t="shared" si="27"/>
        <v>#REF!</v>
      </c>
      <c r="I520" s="5" t="e">
        <f t="shared" si="28"/>
        <v>#REF!</v>
      </c>
    </row>
    <row r="521" spans="5:9" x14ac:dyDescent="0.25">
      <c r="E521" t="s">
        <v>10</v>
      </c>
      <c r="F521" t="e">
        <f>VLOOKUP(E521,'Price indx'!#REF!,3,FALSE)</f>
        <v>#REF!</v>
      </c>
      <c r="H521" s="4" t="e">
        <f t="shared" si="27"/>
        <v>#REF!</v>
      </c>
      <c r="I521" s="5" t="e">
        <f t="shared" si="28"/>
        <v>#REF!</v>
      </c>
    </row>
    <row r="522" spans="5:9" x14ac:dyDescent="0.25">
      <c r="E522" t="s">
        <v>10</v>
      </c>
      <c r="F522" t="e">
        <f>VLOOKUP(E522,'Price indx'!#REF!,3,FALSE)</f>
        <v>#REF!</v>
      </c>
      <c r="H522" s="4" t="e">
        <f t="shared" si="27"/>
        <v>#REF!</v>
      </c>
      <c r="I522" s="5" t="e">
        <f t="shared" si="28"/>
        <v>#REF!</v>
      </c>
    </row>
    <row r="523" spans="5:9" x14ac:dyDescent="0.25">
      <c r="E523" t="s">
        <v>10</v>
      </c>
      <c r="F523" t="e">
        <f>VLOOKUP(E523,'Price indx'!#REF!,3,FALSE)</f>
        <v>#REF!</v>
      </c>
      <c r="H523" s="4" t="e">
        <f t="shared" si="27"/>
        <v>#REF!</v>
      </c>
      <c r="I523" s="5" t="e">
        <f t="shared" si="28"/>
        <v>#REF!</v>
      </c>
    </row>
    <row r="524" spans="5:9" x14ac:dyDescent="0.25">
      <c r="E524" t="s">
        <v>10</v>
      </c>
      <c r="F524" t="e">
        <f>VLOOKUP(E524,'Price indx'!#REF!,3,FALSE)</f>
        <v>#REF!</v>
      </c>
      <c r="H524" s="4" t="e">
        <f t="shared" si="27"/>
        <v>#REF!</v>
      </c>
      <c r="I524" s="5" t="e">
        <f t="shared" si="28"/>
        <v>#REF!</v>
      </c>
    </row>
    <row r="525" spans="5:9" x14ac:dyDescent="0.25">
      <c r="E525" t="s">
        <v>10</v>
      </c>
      <c r="F525" t="e">
        <f>VLOOKUP(E525,'Price indx'!#REF!,3,FALSE)</f>
        <v>#REF!</v>
      </c>
      <c r="H525" s="4" t="e">
        <f t="shared" si="27"/>
        <v>#REF!</v>
      </c>
      <c r="I525" s="5" t="e">
        <f t="shared" si="28"/>
        <v>#REF!</v>
      </c>
    </row>
    <row r="526" spans="5:9" x14ac:dyDescent="0.25">
      <c r="E526" t="s">
        <v>10</v>
      </c>
      <c r="F526" t="e">
        <f>VLOOKUP(E526,'Price indx'!#REF!,3,FALSE)</f>
        <v>#REF!</v>
      </c>
      <c r="H526" s="4" t="e">
        <f t="shared" si="27"/>
        <v>#REF!</v>
      </c>
      <c r="I526" s="5" t="e">
        <f t="shared" si="28"/>
        <v>#REF!</v>
      </c>
    </row>
  </sheetData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'Price indx'!#REF!</xm:f>
          </x14:formula1>
          <xm:sqref>E501:E526</xm:sqref>
        </x14:dataValidation>
        <x14:dataValidation type="list" allowBlank="1" showInputMessage="1" showErrorMessage="1">
          <x14:formula1>
            <xm:f>'Price indx'!#REF!</xm:f>
          </x14:formula1>
          <xm:sqref>E58:E500</xm:sqref>
        </x14:dataValidation>
        <x14:dataValidation type="list" allowBlank="1" showInputMessage="1" showErrorMessage="1">
          <x14:formula1>
            <xm:f>'Price indx'!$A$2:$A$101</xm:f>
          </x14:formula1>
          <xm:sqref>E4:E57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1"/>
  <sheetViews>
    <sheetView topLeftCell="A76" workbookViewId="0">
      <selection activeCell="H15" sqref="H15"/>
    </sheetView>
  </sheetViews>
  <sheetFormatPr defaultColWidth="8.85546875" defaultRowHeight="15" x14ac:dyDescent="0.25"/>
  <cols>
    <col min="1" max="1" width="4" customWidth="1"/>
    <col min="2" max="2" width="38" bestFit="1" customWidth="1"/>
    <col min="3" max="3" width="16.5703125" bestFit="1" customWidth="1"/>
    <col min="4" max="4" width="10.85546875" bestFit="1" customWidth="1"/>
    <col min="5" max="5" width="14.5703125" bestFit="1" customWidth="1"/>
    <col min="6" max="6" width="20.85546875" bestFit="1" customWidth="1"/>
    <col min="7" max="7" width="12.5703125" bestFit="1" customWidth="1"/>
    <col min="8" max="8" width="15.28515625" bestFit="1" customWidth="1"/>
  </cols>
  <sheetData>
    <row r="1" spans="1:7" x14ac:dyDescent="0.25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</row>
    <row r="2" spans="1:7" x14ac:dyDescent="0.25">
      <c r="A2" t="s">
        <v>82</v>
      </c>
      <c r="B2" s="1">
        <v>180811095630</v>
      </c>
      <c r="C2" s="2">
        <v>10705.2</v>
      </c>
      <c r="D2" s="1">
        <v>7094780000</v>
      </c>
      <c r="E2" t="s">
        <v>272</v>
      </c>
      <c r="F2" s="3">
        <v>3.4000000000000002E-2</v>
      </c>
      <c r="G2" t="s">
        <v>11</v>
      </c>
    </row>
    <row r="3" spans="1:7" x14ac:dyDescent="0.25">
      <c r="A3" t="s">
        <v>83</v>
      </c>
      <c r="B3" s="1">
        <v>86241694527</v>
      </c>
      <c r="C3" s="2">
        <v>881.08</v>
      </c>
      <c r="D3" s="1">
        <v>2073970000</v>
      </c>
      <c r="E3" t="s">
        <v>273</v>
      </c>
      <c r="F3" s="3">
        <v>1.4200000000000001E-2</v>
      </c>
      <c r="G3" t="s">
        <v>11</v>
      </c>
    </row>
    <row r="4" spans="1:7" x14ac:dyDescent="0.25">
      <c r="A4" t="s">
        <v>84</v>
      </c>
      <c r="B4" s="1">
        <v>37246048091</v>
      </c>
      <c r="C4" s="2">
        <v>0.95271099999999997</v>
      </c>
      <c r="D4" s="1">
        <v>323752000</v>
      </c>
      <c r="E4" t="s">
        <v>239</v>
      </c>
      <c r="F4" s="3">
        <v>-3.5999999999999999E-3</v>
      </c>
      <c r="G4" t="s">
        <v>11</v>
      </c>
    </row>
    <row r="5" spans="1:7" x14ac:dyDescent="0.25">
      <c r="A5" t="s">
        <v>85</v>
      </c>
      <c r="B5" s="1">
        <v>21182352441</v>
      </c>
      <c r="C5" s="2">
        <v>1246.7</v>
      </c>
      <c r="D5" s="1">
        <v>422112000</v>
      </c>
      <c r="E5" t="s">
        <v>274</v>
      </c>
      <c r="F5" s="3">
        <v>-6.1000000000000004E-3</v>
      </c>
      <c r="G5" t="s">
        <v>11</v>
      </c>
    </row>
    <row r="6" spans="1:7" x14ac:dyDescent="0.25">
      <c r="A6" t="s">
        <v>86</v>
      </c>
      <c r="B6" s="1">
        <v>12042694781</v>
      </c>
      <c r="C6" s="2">
        <v>217.35</v>
      </c>
      <c r="D6" s="1">
        <v>878043000</v>
      </c>
      <c r="E6" t="s">
        <v>275</v>
      </c>
      <c r="F6" s="3">
        <v>-2.2499999999999999E-2</v>
      </c>
      <c r="G6" t="s">
        <v>11</v>
      </c>
    </row>
    <row r="7" spans="1:7" x14ac:dyDescent="0.25">
      <c r="A7" t="s">
        <v>89</v>
      </c>
      <c r="B7" s="1">
        <v>9181120000</v>
      </c>
      <c r="C7" s="2">
        <v>141.25</v>
      </c>
      <c r="D7" s="1">
        <v>414787000</v>
      </c>
      <c r="E7" t="s">
        <v>14</v>
      </c>
      <c r="F7" s="3">
        <v>4.65E-2</v>
      </c>
      <c r="G7" t="s">
        <v>11</v>
      </c>
    </row>
    <row r="8" spans="1:7" x14ac:dyDescent="0.25">
      <c r="A8" t="s">
        <v>87</v>
      </c>
      <c r="B8" s="1">
        <v>8752538253</v>
      </c>
      <c r="C8" s="2">
        <v>0.33758300000000002</v>
      </c>
      <c r="D8" s="1">
        <v>110590000</v>
      </c>
      <c r="E8" t="s">
        <v>16</v>
      </c>
      <c r="F8" s="3">
        <v>-9.7000000000000003E-3</v>
      </c>
      <c r="G8" t="s">
        <v>11</v>
      </c>
    </row>
    <row r="9" spans="1:7" x14ac:dyDescent="0.25">
      <c r="A9" t="s">
        <v>88</v>
      </c>
      <c r="B9" s="1">
        <v>6654214748</v>
      </c>
      <c r="C9" s="2">
        <v>0.36030899999999999</v>
      </c>
      <c r="D9" s="1">
        <v>40603100</v>
      </c>
      <c r="E9" t="s">
        <v>261</v>
      </c>
      <c r="F9" s="3">
        <v>-1.6199999999999999E-2</v>
      </c>
      <c r="G9" t="s">
        <v>11</v>
      </c>
    </row>
    <row r="10" spans="1:7" x14ac:dyDescent="0.25">
      <c r="A10" t="s">
        <v>90</v>
      </c>
      <c r="B10" s="1">
        <v>6053255118</v>
      </c>
      <c r="C10" s="2">
        <v>8.69</v>
      </c>
      <c r="D10" s="1">
        <v>332833000</v>
      </c>
      <c r="E10" t="s">
        <v>276</v>
      </c>
      <c r="F10" s="3">
        <v>5.2999999999999999E-2</v>
      </c>
      <c r="G10" t="s">
        <v>11</v>
      </c>
    </row>
    <row r="11" spans="1:7" x14ac:dyDescent="0.25">
      <c r="A11" t="s">
        <v>91</v>
      </c>
      <c r="B11" s="1">
        <v>5608591796</v>
      </c>
      <c r="C11" s="2">
        <v>2.02</v>
      </c>
      <c r="D11" s="1">
        <v>60158300</v>
      </c>
      <c r="E11" t="s">
        <v>13</v>
      </c>
      <c r="F11" s="3">
        <v>7.8899999999999998E-2</v>
      </c>
      <c r="G11" t="s">
        <v>11</v>
      </c>
    </row>
    <row r="12" spans="1:7" x14ac:dyDescent="0.25">
      <c r="A12" t="s">
        <v>92</v>
      </c>
      <c r="B12" s="1">
        <v>4873837144</v>
      </c>
      <c r="C12" s="2">
        <v>616.16999999999996</v>
      </c>
      <c r="D12" s="1">
        <v>93789500</v>
      </c>
      <c r="E12" t="s">
        <v>277</v>
      </c>
      <c r="F12" s="3">
        <v>-1.32E-2</v>
      </c>
      <c r="G12" t="s">
        <v>11</v>
      </c>
    </row>
    <row r="13" spans="1:7" x14ac:dyDescent="0.25">
      <c r="A13" t="s">
        <v>94</v>
      </c>
      <c r="B13" s="1">
        <v>4753942871</v>
      </c>
      <c r="C13" s="2">
        <v>301.45999999999998</v>
      </c>
      <c r="D13" s="1">
        <v>67571700</v>
      </c>
      <c r="E13" t="s">
        <v>278</v>
      </c>
      <c r="F13" s="3">
        <v>0.02</v>
      </c>
      <c r="G13" t="s">
        <v>11</v>
      </c>
    </row>
    <row r="14" spans="1:7" x14ac:dyDescent="0.25">
      <c r="A14" t="s">
        <v>95</v>
      </c>
      <c r="B14" s="1">
        <v>3641779982</v>
      </c>
      <c r="C14" s="2">
        <v>36.36</v>
      </c>
      <c r="D14" s="1">
        <v>521645000</v>
      </c>
      <c r="E14" t="s">
        <v>279</v>
      </c>
      <c r="F14" s="3">
        <v>-8.0999999999999996E-3</v>
      </c>
      <c r="G14" t="s">
        <v>11</v>
      </c>
    </row>
    <row r="15" spans="1:7" x14ac:dyDescent="0.25">
      <c r="A15" t="s">
        <v>93</v>
      </c>
      <c r="B15" s="1">
        <v>3602349000</v>
      </c>
      <c r="C15" s="2">
        <v>0.40026099999999998</v>
      </c>
      <c r="D15" s="1">
        <v>13211200</v>
      </c>
      <c r="E15" t="s">
        <v>15</v>
      </c>
      <c r="F15" s="3">
        <v>-8.8000000000000005E-3</v>
      </c>
      <c r="G15" t="s">
        <v>11</v>
      </c>
    </row>
    <row r="16" spans="1:7" x14ac:dyDescent="0.25">
      <c r="A16" t="s">
        <v>97</v>
      </c>
      <c r="B16" s="1">
        <v>2791543331</v>
      </c>
      <c r="C16" s="2">
        <v>4.2458000000000003E-2</v>
      </c>
      <c r="D16" s="1">
        <v>219139000</v>
      </c>
      <c r="E16" t="s">
        <v>29</v>
      </c>
      <c r="F16" s="3">
        <v>1.06E-2</v>
      </c>
      <c r="G16" t="s">
        <v>11</v>
      </c>
    </row>
    <row r="17" spans="1:7" x14ac:dyDescent="0.25">
      <c r="A17" t="s">
        <v>99</v>
      </c>
      <c r="B17" s="1">
        <v>2463800275</v>
      </c>
      <c r="C17" s="2">
        <v>5.18</v>
      </c>
      <c r="D17" s="1">
        <v>73273800</v>
      </c>
      <c r="E17" t="s">
        <v>240</v>
      </c>
      <c r="F17" s="3">
        <v>-7.46E-2</v>
      </c>
      <c r="G17" t="s">
        <v>11</v>
      </c>
    </row>
    <row r="18" spans="1:7" x14ac:dyDescent="0.25">
      <c r="A18" t="s">
        <v>100</v>
      </c>
      <c r="B18" s="1">
        <v>2218271555</v>
      </c>
      <c r="C18" s="2">
        <v>1</v>
      </c>
      <c r="D18" s="1">
        <v>2497370000</v>
      </c>
      <c r="E18" t="s">
        <v>80</v>
      </c>
      <c r="F18" s="3">
        <v>8.9999999999999998E-4</v>
      </c>
      <c r="G18" t="s">
        <v>11</v>
      </c>
    </row>
    <row r="19" spans="1:7" x14ac:dyDescent="0.25">
      <c r="A19" t="s">
        <v>98</v>
      </c>
      <c r="B19" s="1">
        <v>2077093149</v>
      </c>
      <c r="C19" s="2">
        <v>28.1</v>
      </c>
      <c r="D19" s="1">
        <v>150008000</v>
      </c>
      <c r="E19" t="s">
        <v>280</v>
      </c>
      <c r="F19" s="3">
        <v>-3.0700000000000002E-2</v>
      </c>
      <c r="G19" t="s">
        <v>11</v>
      </c>
    </row>
    <row r="20" spans="1:7" x14ac:dyDescent="0.25">
      <c r="A20" t="s">
        <v>103</v>
      </c>
      <c r="B20" s="1">
        <v>2058402354</v>
      </c>
      <c r="C20" s="2">
        <v>20.170000000000002</v>
      </c>
      <c r="D20" s="1">
        <v>105008000</v>
      </c>
      <c r="E20" t="s">
        <v>17</v>
      </c>
      <c r="F20" s="3">
        <v>0.1235</v>
      </c>
      <c r="G20" t="s">
        <v>11</v>
      </c>
    </row>
    <row r="21" spans="1:7" x14ac:dyDescent="0.25">
      <c r="A21" t="s">
        <v>96</v>
      </c>
      <c r="B21" s="1">
        <v>2058090888</v>
      </c>
      <c r="C21" s="2">
        <v>20.12</v>
      </c>
      <c r="D21" s="1">
        <v>42780200</v>
      </c>
      <c r="E21" t="s">
        <v>282</v>
      </c>
      <c r="F21" s="3">
        <v>-3.9300000000000002E-2</v>
      </c>
      <c r="G21" t="s">
        <v>11</v>
      </c>
    </row>
    <row r="22" spans="1:7" x14ac:dyDescent="0.25">
      <c r="A22" t="s">
        <v>241</v>
      </c>
      <c r="B22" s="1">
        <v>2054542047</v>
      </c>
      <c r="C22" s="2">
        <v>15.42</v>
      </c>
      <c r="D22" s="1">
        <v>170086000</v>
      </c>
      <c r="E22" t="s">
        <v>242</v>
      </c>
      <c r="F22" s="3">
        <v>0.1002</v>
      </c>
      <c r="G22" t="s">
        <v>11</v>
      </c>
    </row>
    <row r="23" spans="1:7" x14ac:dyDescent="0.25">
      <c r="A23" t="s">
        <v>101</v>
      </c>
      <c r="B23" s="1">
        <v>2054250466</v>
      </c>
      <c r="C23" s="2">
        <v>121.91</v>
      </c>
      <c r="D23" s="1">
        <v>38078900</v>
      </c>
      <c r="E23" t="s">
        <v>281</v>
      </c>
      <c r="F23" s="3">
        <v>2.9499999999999998E-2</v>
      </c>
      <c r="G23" t="s">
        <v>11</v>
      </c>
    </row>
    <row r="24" spans="1:7" x14ac:dyDescent="0.25">
      <c r="A24" t="s">
        <v>102</v>
      </c>
      <c r="B24" s="1">
        <v>1507677250</v>
      </c>
      <c r="C24" s="2">
        <v>3.91</v>
      </c>
      <c r="D24" s="1">
        <v>22738000</v>
      </c>
      <c r="E24" t="s">
        <v>243</v>
      </c>
      <c r="F24" s="3">
        <v>-3.4000000000000002E-2</v>
      </c>
      <c r="G24" t="s">
        <v>11</v>
      </c>
    </row>
    <row r="25" spans="1:7" x14ac:dyDescent="0.25">
      <c r="A25" t="s">
        <v>104</v>
      </c>
      <c r="B25" s="1">
        <v>1379769542</v>
      </c>
      <c r="C25" s="2">
        <v>409.13</v>
      </c>
      <c r="D25" s="1">
        <v>46331100</v>
      </c>
      <c r="E25" t="s">
        <v>283</v>
      </c>
      <c r="F25" s="3">
        <v>-1.9E-3</v>
      </c>
      <c r="G25" t="s">
        <v>11</v>
      </c>
    </row>
    <row r="26" spans="1:7" x14ac:dyDescent="0.25">
      <c r="A26" t="s">
        <v>106</v>
      </c>
      <c r="B26" s="1">
        <v>1053627777</v>
      </c>
      <c r="C26" s="2">
        <v>10.64</v>
      </c>
      <c r="D26" s="1">
        <v>96090800</v>
      </c>
      <c r="E26" t="s">
        <v>26</v>
      </c>
      <c r="F26" s="3">
        <v>8.0699999999999994E-2</v>
      </c>
      <c r="G26" t="s">
        <v>11</v>
      </c>
    </row>
    <row r="27" spans="1:7" x14ac:dyDescent="0.25">
      <c r="A27" t="s">
        <v>128</v>
      </c>
      <c r="B27" s="1">
        <v>981942000</v>
      </c>
      <c r="C27" s="2">
        <v>490.97</v>
      </c>
      <c r="D27" s="1">
        <v>58194900</v>
      </c>
      <c r="E27" t="s">
        <v>22</v>
      </c>
      <c r="F27" s="3">
        <v>0.19839999999999999</v>
      </c>
      <c r="G27" t="s">
        <v>11</v>
      </c>
    </row>
    <row r="28" spans="1:7" x14ac:dyDescent="0.25">
      <c r="A28" t="s">
        <v>107</v>
      </c>
      <c r="B28" s="1">
        <v>926564078</v>
      </c>
      <c r="C28" s="2">
        <v>5.0419999999999996E-3</v>
      </c>
      <c r="D28" s="1">
        <v>2721460</v>
      </c>
      <c r="E28" t="s">
        <v>284</v>
      </c>
      <c r="F28" s="3">
        <v>2.29E-2</v>
      </c>
      <c r="G28" t="s">
        <v>11</v>
      </c>
    </row>
    <row r="29" spans="1:7" x14ac:dyDescent="0.25">
      <c r="A29" t="s">
        <v>110</v>
      </c>
      <c r="B29" s="1">
        <v>874378210</v>
      </c>
      <c r="C29" s="2">
        <v>5.9692000000000002E-2</v>
      </c>
      <c r="D29" s="1">
        <v>17194700</v>
      </c>
      <c r="E29" t="s">
        <v>286</v>
      </c>
      <c r="F29" s="3">
        <v>-2.63E-2</v>
      </c>
      <c r="G29" t="s">
        <v>11</v>
      </c>
    </row>
    <row r="30" spans="1:7" x14ac:dyDescent="0.25">
      <c r="A30" t="s">
        <v>105</v>
      </c>
      <c r="B30" s="1">
        <v>872754019</v>
      </c>
      <c r="C30" s="2">
        <v>3.48</v>
      </c>
      <c r="D30" s="1">
        <v>6698930</v>
      </c>
      <c r="E30" t="s">
        <v>285</v>
      </c>
      <c r="F30" s="3">
        <v>-2.0199999999999999E-2</v>
      </c>
      <c r="G30" t="s">
        <v>11</v>
      </c>
    </row>
    <row r="31" spans="1:7" x14ac:dyDescent="0.25">
      <c r="A31" t="s">
        <v>108</v>
      </c>
      <c r="B31" s="1">
        <v>811191176</v>
      </c>
      <c r="C31" s="2">
        <v>21.92</v>
      </c>
      <c r="D31" s="1">
        <v>2587220</v>
      </c>
      <c r="E31" t="s">
        <v>61</v>
      </c>
      <c r="F31" s="3">
        <v>1.6400000000000001E-2</v>
      </c>
      <c r="G31" t="s">
        <v>11</v>
      </c>
    </row>
    <row r="32" spans="1:7" x14ac:dyDescent="0.25">
      <c r="A32" t="s">
        <v>109</v>
      </c>
      <c r="B32" s="1">
        <v>774678952</v>
      </c>
      <c r="C32" s="2">
        <v>7.84</v>
      </c>
      <c r="D32" s="1">
        <v>6924160</v>
      </c>
      <c r="E32" t="s">
        <v>287</v>
      </c>
      <c r="F32" s="3">
        <v>2.87E-2</v>
      </c>
      <c r="G32" t="s">
        <v>11</v>
      </c>
    </row>
    <row r="33" spans="1:7" x14ac:dyDescent="0.25">
      <c r="A33" t="s">
        <v>114</v>
      </c>
      <c r="B33" s="1">
        <v>724204433</v>
      </c>
      <c r="C33" s="2">
        <v>6.3879999999999996E-3</v>
      </c>
      <c r="D33" s="1">
        <v>11997300</v>
      </c>
      <c r="E33" t="s">
        <v>244</v>
      </c>
      <c r="F33" s="3">
        <v>-2.7000000000000001E-3</v>
      </c>
      <c r="G33" t="s">
        <v>11</v>
      </c>
    </row>
    <row r="34" spans="1:7" x14ac:dyDescent="0.25">
      <c r="A34" t="s">
        <v>111</v>
      </c>
      <c r="B34" s="1">
        <v>715530729</v>
      </c>
      <c r="C34" s="2">
        <v>2.1835E-2</v>
      </c>
      <c r="D34" s="1">
        <v>8972520</v>
      </c>
      <c r="E34" t="s">
        <v>288</v>
      </c>
      <c r="F34" s="3">
        <v>-2.2499999999999999E-2</v>
      </c>
      <c r="G34" t="s">
        <v>11</v>
      </c>
    </row>
    <row r="35" spans="1:7" x14ac:dyDescent="0.25">
      <c r="A35" t="s">
        <v>112</v>
      </c>
      <c r="B35" s="1">
        <v>681356329</v>
      </c>
      <c r="C35" s="2">
        <v>1.9</v>
      </c>
      <c r="D35" s="1">
        <v>517213</v>
      </c>
      <c r="E35" t="s">
        <v>245</v>
      </c>
      <c r="F35" s="3">
        <v>-4.9200000000000001E-2</v>
      </c>
      <c r="G35" t="s">
        <v>11</v>
      </c>
    </row>
    <row r="36" spans="1:7" x14ac:dyDescent="0.25">
      <c r="A36" t="s">
        <v>117</v>
      </c>
      <c r="B36" s="1">
        <v>657513000</v>
      </c>
      <c r="C36" s="2">
        <v>6.58</v>
      </c>
      <c r="D36" s="1">
        <v>24129800</v>
      </c>
      <c r="E36" t="s">
        <v>18</v>
      </c>
      <c r="F36" s="3">
        <v>-2.0299999999999999E-2</v>
      </c>
      <c r="G36" t="s">
        <v>11</v>
      </c>
    </row>
    <row r="37" spans="1:7" x14ac:dyDescent="0.25">
      <c r="A37" t="s">
        <v>116</v>
      </c>
      <c r="B37" s="1">
        <v>650406526</v>
      </c>
      <c r="C37" s="2">
        <v>1052.05</v>
      </c>
      <c r="D37" s="1">
        <v>391156</v>
      </c>
      <c r="E37" t="s">
        <v>69</v>
      </c>
      <c r="F37" s="3">
        <v>2.64E-2</v>
      </c>
      <c r="G37" t="s">
        <v>11</v>
      </c>
    </row>
    <row r="38" spans="1:7" x14ac:dyDescent="0.25">
      <c r="A38" t="s">
        <v>113</v>
      </c>
      <c r="B38" s="1">
        <v>601063499</v>
      </c>
      <c r="C38" s="2">
        <v>0.17319300000000001</v>
      </c>
      <c r="D38" s="1">
        <v>14441500</v>
      </c>
      <c r="E38" t="s">
        <v>30</v>
      </c>
      <c r="F38" s="3">
        <v>-3.3599999999999998E-2</v>
      </c>
      <c r="G38" t="s">
        <v>11</v>
      </c>
    </row>
    <row r="39" spans="1:7" x14ac:dyDescent="0.25">
      <c r="A39" t="s">
        <v>115</v>
      </c>
      <c r="B39" s="1">
        <v>581615742</v>
      </c>
      <c r="C39" s="2">
        <v>0.22287799999999999</v>
      </c>
      <c r="D39" s="1">
        <v>10863700</v>
      </c>
      <c r="E39" t="s">
        <v>246</v>
      </c>
      <c r="F39" s="3">
        <v>1.0800000000000001E-2</v>
      </c>
      <c r="G39" t="s">
        <v>11</v>
      </c>
    </row>
    <row r="40" spans="1:7" x14ac:dyDescent="0.25">
      <c r="A40" t="s">
        <v>119</v>
      </c>
      <c r="B40" s="1">
        <v>581514239</v>
      </c>
      <c r="C40" s="2">
        <v>2.5</v>
      </c>
      <c r="D40" s="1">
        <v>8180920</v>
      </c>
      <c r="E40" t="s">
        <v>31</v>
      </c>
      <c r="F40" s="3">
        <v>0.1176</v>
      </c>
      <c r="G40" t="s">
        <v>11</v>
      </c>
    </row>
    <row r="41" spans="1:7" x14ac:dyDescent="0.25">
      <c r="A41" t="s">
        <v>120</v>
      </c>
      <c r="B41" s="1">
        <v>553399353</v>
      </c>
      <c r="C41" s="2">
        <v>22.23</v>
      </c>
      <c r="D41" s="1">
        <v>5882800</v>
      </c>
      <c r="E41" t="s">
        <v>70</v>
      </c>
      <c r="F41" s="3">
        <v>3.3099999999999997E-2</v>
      </c>
      <c r="G41" t="s">
        <v>11</v>
      </c>
    </row>
    <row r="42" spans="1:7" x14ac:dyDescent="0.25">
      <c r="A42" t="s">
        <v>122</v>
      </c>
      <c r="B42" s="1">
        <v>535829800</v>
      </c>
      <c r="C42" s="2">
        <v>48.71</v>
      </c>
      <c r="D42" s="1">
        <v>5540810</v>
      </c>
      <c r="E42" t="s">
        <v>20</v>
      </c>
      <c r="F42" s="3">
        <v>5.8599999999999999E-2</v>
      </c>
      <c r="G42" t="s">
        <v>11</v>
      </c>
    </row>
    <row r="43" spans="1:7" x14ac:dyDescent="0.25">
      <c r="A43" t="s">
        <v>124</v>
      </c>
      <c r="B43" s="1">
        <v>533387335</v>
      </c>
      <c r="C43" s="2">
        <v>77.989999999999995</v>
      </c>
      <c r="D43" s="1">
        <v>867344</v>
      </c>
      <c r="E43" t="s">
        <v>289</v>
      </c>
      <c r="F43" s="3">
        <v>3.5499999999999997E-2</v>
      </c>
      <c r="G43" t="s">
        <v>11</v>
      </c>
    </row>
    <row r="44" spans="1:7" x14ac:dyDescent="0.25">
      <c r="A44" t="s">
        <v>125</v>
      </c>
      <c r="B44" s="1">
        <v>518341005</v>
      </c>
      <c r="C44" s="2">
        <v>1.01</v>
      </c>
      <c r="D44" s="1">
        <v>16880600</v>
      </c>
      <c r="E44" t="s">
        <v>247</v>
      </c>
      <c r="F44" s="3">
        <v>-1.35E-2</v>
      </c>
      <c r="G44" t="s">
        <v>11</v>
      </c>
    </row>
    <row r="45" spans="1:7" x14ac:dyDescent="0.25">
      <c r="A45" t="s">
        <v>118</v>
      </c>
      <c r="B45" s="1">
        <v>489855998</v>
      </c>
      <c r="C45" s="2">
        <v>240.52</v>
      </c>
      <c r="D45" s="1">
        <v>302386</v>
      </c>
      <c r="E45" t="s">
        <v>58</v>
      </c>
      <c r="F45" s="3">
        <v>-2.76E-2</v>
      </c>
      <c r="G45" t="s">
        <v>11</v>
      </c>
    </row>
    <row r="46" spans="1:7" x14ac:dyDescent="0.25">
      <c r="A46" t="s">
        <v>133</v>
      </c>
      <c r="B46" s="1">
        <v>487348365</v>
      </c>
      <c r="C46" s="2">
        <v>7.7584E-2</v>
      </c>
      <c r="D46" s="1">
        <v>3415440</v>
      </c>
      <c r="E46" t="s">
        <v>290</v>
      </c>
      <c r="F46" s="3">
        <v>-8.5999999999999993E-2</v>
      </c>
      <c r="G46" t="s">
        <v>11</v>
      </c>
    </row>
    <row r="47" spans="1:7" x14ac:dyDescent="0.25">
      <c r="A47" t="s">
        <v>132</v>
      </c>
      <c r="B47" s="1">
        <v>446996130</v>
      </c>
      <c r="C47" s="2">
        <v>2.42</v>
      </c>
      <c r="D47" s="1">
        <v>15546200</v>
      </c>
      <c r="E47" t="s">
        <v>79</v>
      </c>
      <c r="F47" s="3">
        <v>3.9399999999999998E-2</v>
      </c>
      <c r="G47" t="s">
        <v>11</v>
      </c>
    </row>
    <row r="48" spans="1:7" x14ac:dyDescent="0.25">
      <c r="A48" t="s">
        <v>121</v>
      </c>
      <c r="B48" s="1">
        <v>420704585</v>
      </c>
      <c r="C48" s="2">
        <v>9.86</v>
      </c>
      <c r="D48" s="1">
        <v>64496600</v>
      </c>
      <c r="E48" t="s">
        <v>291</v>
      </c>
      <c r="F48" s="3">
        <v>1.4800000000000001E-2</v>
      </c>
      <c r="G48" t="s">
        <v>11</v>
      </c>
    </row>
    <row r="49" spans="1:7" x14ac:dyDescent="0.25">
      <c r="A49" t="s">
        <v>126</v>
      </c>
      <c r="B49" s="1">
        <v>419634733</v>
      </c>
      <c r="C49" s="2">
        <v>0.42005500000000001</v>
      </c>
      <c r="D49" s="1">
        <v>2340160</v>
      </c>
      <c r="E49" t="s">
        <v>19</v>
      </c>
      <c r="F49" s="3">
        <v>-2.1299999999999999E-2</v>
      </c>
      <c r="G49" t="s">
        <v>11</v>
      </c>
    </row>
    <row r="50" spans="1:7" x14ac:dyDescent="0.25">
      <c r="A50" t="s">
        <v>136</v>
      </c>
      <c r="B50" s="1">
        <v>417600384</v>
      </c>
      <c r="C50" s="2">
        <v>42.58</v>
      </c>
      <c r="D50" s="1">
        <v>5550200</v>
      </c>
      <c r="E50" t="s">
        <v>292</v>
      </c>
      <c r="F50" s="3">
        <v>-1.3100000000000001E-2</v>
      </c>
      <c r="G50" t="s">
        <v>11</v>
      </c>
    </row>
    <row r="51" spans="1:7" x14ac:dyDescent="0.25">
      <c r="A51" t="s">
        <v>130</v>
      </c>
      <c r="B51" s="1">
        <v>404512848</v>
      </c>
      <c r="C51" s="2">
        <v>3.9</v>
      </c>
      <c r="D51" s="1">
        <v>1881280</v>
      </c>
      <c r="E51" t="s">
        <v>293</v>
      </c>
      <c r="F51" s="3">
        <v>-2.0500000000000001E-2</v>
      </c>
      <c r="G51" t="s">
        <v>11</v>
      </c>
    </row>
    <row r="52" spans="1:7" x14ac:dyDescent="0.25">
      <c r="A52" t="s">
        <v>127</v>
      </c>
      <c r="B52" s="1">
        <v>402747255</v>
      </c>
      <c r="C52" s="2">
        <v>4.42</v>
      </c>
      <c r="D52" s="1">
        <v>1335910</v>
      </c>
      <c r="E52" t="s">
        <v>62</v>
      </c>
      <c r="F52" s="3">
        <v>-6.2100000000000002E-2</v>
      </c>
      <c r="G52" t="s">
        <v>11</v>
      </c>
    </row>
    <row r="53" spans="1:7" x14ac:dyDescent="0.25">
      <c r="A53" t="s">
        <v>134</v>
      </c>
      <c r="B53" s="1">
        <v>384255265</v>
      </c>
      <c r="C53" s="2">
        <v>3.81</v>
      </c>
      <c r="D53" s="1">
        <v>2474960</v>
      </c>
      <c r="E53" t="s">
        <v>294</v>
      </c>
      <c r="F53" s="3">
        <v>5.5999999999999999E-3</v>
      </c>
      <c r="G53" t="s">
        <v>11</v>
      </c>
    </row>
    <row r="54" spans="1:7" x14ac:dyDescent="0.25">
      <c r="A54" t="s">
        <v>137</v>
      </c>
      <c r="B54" s="1">
        <v>364482000</v>
      </c>
      <c r="C54" s="2">
        <v>0.36448199999999997</v>
      </c>
      <c r="D54" s="1">
        <v>3618730</v>
      </c>
      <c r="E54" t="s">
        <v>25</v>
      </c>
      <c r="F54" s="3">
        <v>-1.0800000000000001E-2</v>
      </c>
      <c r="G54" t="s">
        <v>11</v>
      </c>
    </row>
    <row r="55" spans="1:7" x14ac:dyDescent="0.25">
      <c r="A55" t="s">
        <v>135</v>
      </c>
      <c r="B55" s="1">
        <v>358664390</v>
      </c>
      <c r="C55" s="2">
        <v>3.6218E-2</v>
      </c>
      <c r="D55" s="1">
        <v>4082430</v>
      </c>
      <c r="E55" t="s">
        <v>295</v>
      </c>
      <c r="F55" s="3">
        <v>2.1499999999999998E-2</v>
      </c>
      <c r="G55" t="s">
        <v>11</v>
      </c>
    </row>
    <row r="56" spans="1:7" x14ac:dyDescent="0.25">
      <c r="A56" t="s">
        <v>153</v>
      </c>
      <c r="B56" s="1">
        <v>350284795</v>
      </c>
      <c r="C56" s="2">
        <v>7.76</v>
      </c>
      <c r="D56" s="1">
        <v>198347</v>
      </c>
      <c r="E56" t="s">
        <v>296</v>
      </c>
      <c r="F56" s="3">
        <v>2.2599999999999999E-2</v>
      </c>
      <c r="G56" t="s">
        <v>11</v>
      </c>
    </row>
    <row r="57" spans="1:7" x14ac:dyDescent="0.25">
      <c r="A57" t="s">
        <v>139</v>
      </c>
      <c r="B57" s="1">
        <v>344867951</v>
      </c>
      <c r="C57" s="2">
        <v>0.61365400000000003</v>
      </c>
      <c r="D57" s="1">
        <v>3095660</v>
      </c>
      <c r="E57" t="s">
        <v>248</v>
      </c>
      <c r="F57" s="3">
        <v>-2.06E-2</v>
      </c>
      <c r="G57" t="s">
        <v>11</v>
      </c>
    </row>
    <row r="58" spans="1:7" x14ac:dyDescent="0.25">
      <c r="A58" t="s">
        <v>146</v>
      </c>
      <c r="B58" s="1">
        <v>343813917</v>
      </c>
      <c r="C58" s="2">
        <v>0.64717999999999998</v>
      </c>
      <c r="D58" s="1">
        <v>2826260</v>
      </c>
      <c r="E58" t="s">
        <v>297</v>
      </c>
      <c r="F58" s="3">
        <v>1.3899999999999999E-2</v>
      </c>
      <c r="G58" t="s">
        <v>11</v>
      </c>
    </row>
    <row r="59" spans="1:7" x14ac:dyDescent="0.25">
      <c r="A59" t="s">
        <v>138</v>
      </c>
      <c r="B59" s="1">
        <v>341439819</v>
      </c>
      <c r="C59" s="2">
        <v>0.34593699999999999</v>
      </c>
      <c r="D59" s="1">
        <v>9100820</v>
      </c>
      <c r="E59" t="s">
        <v>32</v>
      </c>
      <c r="F59" s="3">
        <v>6.3E-3</v>
      </c>
      <c r="G59" t="s">
        <v>11</v>
      </c>
    </row>
    <row r="60" spans="1:7" x14ac:dyDescent="0.25">
      <c r="A60" t="s">
        <v>141</v>
      </c>
      <c r="B60" s="1">
        <v>339167271</v>
      </c>
      <c r="C60" s="2">
        <v>5.2089999999999997E-2</v>
      </c>
      <c r="D60" s="1">
        <v>10063900</v>
      </c>
      <c r="E60" t="s">
        <v>142</v>
      </c>
      <c r="F60" s="3">
        <v>-4.7699999999999999E-2</v>
      </c>
      <c r="G60" t="s">
        <v>11</v>
      </c>
    </row>
    <row r="61" spans="1:7" x14ac:dyDescent="0.25">
      <c r="A61" t="s">
        <v>131</v>
      </c>
      <c r="B61" s="1">
        <v>324475571</v>
      </c>
      <c r="C61" s="2">
        <v>1.36</v>
      </c>
      <c r="D61" s="1">
        <v>2081510</v>
      </c>
      <c r="E61" t="s">
        <v>59</v>
      </c>
      <c r="F61" s="3">
        <v>-3.1399999999999997E-2</v>
      </c>
      <c r="G61" t="s">
        <v>11</v>
      </c>
    </row>
    <row r="62" spans="1:7" x14ac:dyDescent="0.25">
      <c r="A62" t="s">
        <v>123</v>
      </c>
      <c r="B62" s="1">
        <v>323695825</v>
      </c>
      <c r="C62" s="2">
        <v>94.95</v>
      </c>
      <c r="D62" s="1">
        <v>78201900</v>
      </c>
      <c r="E62" t="s">
        <v>298</v>
      </c>
      <c r="F62" s="3">
        <v>-0.1211</v>
      </c>
      <c r="G62" t="s">
        <v>11</v>
      </c>
    </row>
    <row r="63" spans="1:7" x14ac:dyDescent="0.25">
      <c r="A63" t="s">
        <v>145</v>
      </c>
      <c r="B63" s="1">
        <v>320430970</v>
      </c>
      <c r="C63" s="2">
        <v>5.76</v>
      </c>
      <c r="D63" s="1">
        <v>3073060</v>
      </c>
      <c r="E63" t="s">
        <v>299</v>
      </c>
      <c r="F63" s="3">
        <v>7.22E-2</v>
      </c>
      <c r="G63" t="s">
        <v>11</v>
      </c>
    </row>
    <row r="64" spans="1:7" x14ac:dyDescent="0.25">
      <c r="A64" t="s">
        <v>159</v>
      </c>
      <c r="B64" s="1">
        <v>318623595</v>
      </c>
      <c r="C64" s="2">
        <v>5.52</v>
      </c>
      <c r="D64" s="1">
        <v>3240820</v>
      </c>
      <c r="E64" t="s">
        <v>262</v>
      </c>
      <c r="F64" s="3">
        <v>-1.4800000000000001E-2</v>
      </c>
      <c r="G64" t="s">
        <v>11</v>
      </c>
    </row>
    <row r="65" spans="1:7" x14ac:dyDescent="0.25">
      <c r="A65" t="s">
        <v>144</v>
      </c>
      <c r="B65" s="1">
        <v>309955864</v>
      </c>
      <c r="C65" s="2">
        <v>0.371533</v>
      </c>
      <c r="D65" s="1">
        <v>6417770</v>
      </c>
      <c r="E65" t="s">
        <v>60</v>
      </c>
      <c r="F65" s="3">
        <v>-1.4800000000000001E-2</v>
      </c>
      <c r="G65" t="s">
        <v>11</v>
      </c>
    </row>
    <row r="66" spans="1:7" x14ac:dyDescent="0.25">
      <c r="A66" t="s">
        <v>156</v>
      </c>
      <c r="B66" s="1">
        <v>308721340</v>
      </c>
      <c r="C66" s="2">
        <v>35.299999999999997</v>
      </c>
      <c r="D66" s="1">
        <v>6343510</v>
      </c>
      <c r="E66" t="s">
        <v>23</v>
      </c>
      <c r="F66" s="3">
        <v>7.5600000000000001E-2</v>
      </c>
      <c r="G66" t="s">
        <v>11</v>
      </c>
    </row>
    <row r="67" spans="1:7" x14ac:dyDescent="0.25">
      <c r="A67" t="s">
        <v>149</v>
      </c>
      <c r="B67" s="1">
        <v>307554250</v>
      </c>
      <c r="C67" s="2">
        <v>8.66</v>
      </c>
      <c r="D67" s="1">
        <v>10157600</v>
      </c>
      <c r="E67" t="s">
        <v>72</v>
      </c>
      <c r="F67" s="3">
        <v>1.54E-2</v>
      </c>
      <c r="G67" t="s">
        <v>11</v>
      </c>
    </row>
    <row r="68" spans="1:7" x14ac:dyDescent="0.25">
      <c r="A68" t="s">
        <v>147</v>
      </c>
      <c r="B68" s="1">
        <v>297625000</v>
      </c>
      <c r="C68" s="2">
        <v>1.19</v>
      </c>
      <c r="D68" s="1">
        <v>16240900</v>
      </c>
      <c r="E68" t="s">
        <v>63</v>
      </c>
      <c r="F68" s="3">
        <v>-1.4E-3</v>
      </c>
      <c r="G68" t="s">
        <v>11</v>
      </c>
    </row>
    <row r="69" spans="1:7" x14ac:dyDescent="0.25">
      <c r="A69" t="s">
        <v>152</v>
      </c>
      <c r="B69" s="1">
        <v>296803923</v>
      </c>
      <c r="C69" s="2">
        <v>3.92</v>
      </c>
      <c r="D69" s="1">
        <v>2970670</v>
      </c>
      <c r="E69" t="s">
        <v>249</v>
      </c>
      <c r="F69" s="3">
        <v>0.1384</v>
      </c>
      <c r="G69" t="s">
        <v>11</v>
      </c>
    </row>
    <row r="70" spans="1:7" x14ac:dyDescent="0.25">
      <c r="A70" t="s">
        <v>160</v>
      </c>
      <c r="B70" s="1">
        <v>295991791</v>
      </c>
      <c r="C70" s="2">
        <v>3.08</v>
      </c>
      <c r="D70" s="1">
        <v>3989850</v>
      </c>
      <c r="E70" t="s">
        <v>250</v>
      </c>
      <c r="F70" s="3">
        <v>-1.7000000000000001E-2</v>
      </c>
      <c r="G70" t="s">
        <v>11</v>
      </c>
    </row>
    <row r="71" spans="1:7" x14ac:dyDescent="0.25">
      <c r="A71" t="s">
        <v>148</v>
      </c>
      <c r="B71" s="1">
        <v>292509700</v>
      </c>
      <c r="C71" s="2">
        <v>0.83574199999999998</v>
      </c>
      <c r="D71" s="1">
        <v>3071840</v>
      </c>
      <c r="E71" t="s">
        <v>55</v>
      </c>
      <c r="F71" s="3">
        <v>-2.2000000000000001E-3</v>
      </c>
      <c r="G71" t="s">
        <v>11</v>
      </c>
    </row>
    <row r="72" spans="1:7" x14ac:dyDescent="0.25">
      <c r="A72" t="s">
        <v>158</v>
      </c>
      <c r="B72" s="1">
        <v>285098680</v>
      </c>
      <c r="C72" s="2">
        <v>2.6859000000000001E-2</v>
      </c>
      <c r="D72" s="1">
        <v>4378720</v>
      </c>
      <c r="E72" t="s">
        <v>68</v>
      </c>
      <c r="F72" s="3">
        <v>-7.17E-2</v>
      </c>
      <c r="G72" t="s">
        <v>11</v>
      </c>
    </row>
    <row r="73" spans="1:7" x14ac:dyDescent="0.25">
      <c r="A73" t="s">
        <v>163</v>
      </c>
      <c r="B73" s="1">
        <v>284068028</v>
      </c>
      <c r="C73" s="2">
        <v>1.19</v>
      </c>
      <c r="D73" s="1">
        <v>2614350</v>
      </c>
      <c r="E73" t="s">
        <v>164</v>
      </c>
      <c r="F73" s="3">
        <v>-2.7300000000000001E-2</v>
      </c>
      <c r="G73" t="s">
        <v>11</v>
      </c>
    </row>
    <row r="74" spans="1:7" x14ac:dyDescent="0.25">
      <c r="A74" t="s">
        <v>170</v>
      </c>
      <c r="B74" s="1">
        <v>278779773</v>
      </c>
      <c r="C74" s="2">
        <v>9.6900000000000007E-3</v>
      </c>
      <c r="D74" s="1">
        <v>18376100</v>
      </c>
      <c r="E74" t="s">
        <v>251</v>
      </c>
      <c r="F74" s="3">
        <v>-3.0300000000000001E-2</v>
      </c>
      <c r="G74" t="s">
        <v>11</v>
      </c>
    </row>
    <row r="75" spans="1:7" x14ac:dyDescent="0.25">
      <c r="A75" t="s">
        <v>129</v>
      </c>
      <c r="B75" s="1">
        <v>270913255</v>
      </c>
      <c r="C75" s="2">
        <v>419.88</v>
      </c>
      <c r="D75" s="1">
        <v>541023</v>
      </c>
      <c r="E75" t="s">
        <v>27</v>
      </c>
      <c r="F75" s="3">
        <v>-4.2299999999999997E-2</v>
      </c>
      <c r="G75" t="s">
        <v>11</v>
      </c>
    </row>
    <row r="76" spans="1:7" x14ac:dyDescent="0.25">
      <c r="A76" t="s">
        <v>140</v>
      </c>
      <c r="B76" s="1">
        <v>270025215</v>
      </c>
      <c r="C76" s="2">
        <v>2.0099999999999998</v>
      </c>
      <c r="D76" s="1">
        <v>3452330</v>
      </c>
      <c r="E76" t="s">
        <v>28</v>
      </c>
      <c r="F76" s="3">
        <v>-1.6999999999999999E-3</v>
      </c>
      <c r="G76" t="s">
        <v>11</v>
      </c>
    </row>
    <row r="77" spans="1:7" x14ac:dyDescent="0.25">
      <c r="A77" t="s">
        <v>157</v>
      </c>
      <c r="B77" s="1">
        <v>256512979</v>
      </c>
      <c r="C77" s="2">
        <v>3.7754999999999997E-2</v>
      </c>
      <c r="D77" s="1">
        <v>44623000</v>
      </c>
      <c r="E77" t="s">
        <v>75</v>
      </c>
      <c r="F77" s="3">
        <v>6.9800000000000001E-2</v>
      </c>
      <c r="G77" t="s">
        <v>11</v>
      </c>
    </row>
    <row r="78" spans="1:7" x14ac:dyDescent="0.25">
      <c r="A78" t="s">
        <v>143</v>
      </c>
      <c r="B78" s="1">
        <v>255661291</v>
      </c>
      <c r="C78" s="2">
        <v>7.8600000000000002E-4</v>
      </c>
      <c r="D78" s="1">
        <v>218950</v>
      </c>
      <c r="E78" t="s">
        <v>78</v>
      </c>
      <c r="F78" s="3">
        <v>-2.06E-2</v>
      </c>
      <c r="G78" t="s">
        <v>11</v>
      </c>
    </row>
    <row r="79" spans="1:7" x14ac:dyDescent="0.25">
      <c r="A79" t="s">
        <v>177</v>
      </c>
      <c r="B79" s="1">
        <v>249662000</v>
      </c>
      <c r="C79" s="2">
        <v>0.71331999999999995</v>
      </c>
      <c r="D79" s="1">
        <v>5270620</v>
      </c>
      <c r="E79" t="s">
        <v>178</v>
      </c>
      <c r="F79" s="3">
        <v>4.1300000000000003E-2</v>
      </c>
      <c r="G79" t="s">
        <v>11</v>
      </c>
    </row>
    <row r="80" spans="1:7" x14ac:dyDescent="0.25">
      <c r="A80" t="s">
        <v>154</v>
      </c>
      <c r="B80" s="1">
        <v>246151800</v>
      </c>
      <c r="C80" s="2">
        <v>4.0999999999999996</v>
      </c>
      <c r="D80" s="1">
        <v>6471820</v>
      </c>
      <c r="E80" t="s">
        <v>71</v>
      </c>
      <c r="F80" s="3">
        <v>-1.3299999999999999E-2</v>
      </c>
      <c r="G80" t="s">
        <v>11</v>
      </c>
    </row>
    <row r="81" spans="1:7" x14ac:dyDescent="0.25">
      <c r="A81" t="s">
        <v>162</v>
      </c>
      <c r="B81" s="1">
        <v>237338094</v>
      </c>
      <c r="C81" s="2">
        <v>5.2699000000000003E-2</v>
      </c>
      <c r="D81" s="1">
        <v>1320090</v>
      </c>
      <c r="E81" t="s">
        <v>81</v>
      </c>
      <c r="F81" s="3">
        <v>7.1999999999999998E-3</v>
      </c>
      <c r="G81" t="s">
        <v>11</v>
      </c>
    </row>
    <row r="82" spans="1:7" x14ac:dyDescent="0.25">
      <c r="A82" t="s">
        <v>150</v>
      </c>
      <c r="B82" s="1">
        <v>234911408</v>
      </c>
      <c r="C82" s="2">
        <v>19.95</v>
      </c>
      <c r="D82" s="1">
        <v>1757600</v>
      </c>
      <c r="E82" t="s">
        <v>300</v>
      </c>
      <c r="F82" s="3">
        <v>-6.4600000000000005E-2</v>
      </c>
      <c r="G82" t="s">
        <v>11</v>
      </c>
    </row>
    <row r="83" spans="1:7" x14ac:dyDescent="0.25">
      <c r="A83" t="s">
        <v>165</v>
      </c>
      <c r="B83" s="1">
        <v>227975460</v>
      </c>
      <c r="C83" s="2">
        <v>54.29</v>
      </c>
      <c r="D83" s="1">
        <v>3471540</v>
      </c>
      <c r="E83" t="s">
        <v>301</v>
      </c>
      <c r="F83" s="3">
        <v>3.3599999999999998E-2</v>
      </c>
      <c r="G83" t="s">
        <v>11</v>
      </c>
    </row>
    <row r="84" spans="1:7" x14ac:dyDescent="0.25">
      <c r="A84" t="s">
        <v>168</v>
      </c>
      <c r="B84" s="1">
        <v>225021056</v>
      </c>
      <c r="C84" s="2">
        <v>4.1500000000000004</v>
      </c>
      <c r="D84" s="1">
        <v>5036800</v>
      </c>
      <c r="E84" t="s">
        <v>252</v>
      </c>
      <c r="F84" s="3">
        <v>-8.9999999999999993E-3</v>
      </c>
      <c r="G84" t="s">
        <v>11</v>
      </c>
    </row>
    <row r="85" spans="1:7" x14ac:dyDescent="0.25">
      <c r="A85" t="s">
        <v>155</v>
      </c>
      <c r="B85" s="1">
        <v>220024214</v>
      </c>
      <c r="C85" s="2">
        <v>0.60457399999999994</v>
      </c>
      <c r="D85" s="1">
        <v>4299890</v>
      </c>
      <c r="E85" t="s">
        <v>253</v>
      </c>
      <c r="F85" s="3">
        <v>4.0000000000000002E-4</v>
      </c>
      <c r="G85" t="s">
        <v>11</v>
      </c>
    </row>
    <row r="86" spans="1:7" x14ac:dyDescent="0.25">
      <c r="A86" t="s">
        <v>166</v>
      </c>
      <c r="B86" s="1">
        <v>213295122</v>
      </c>
      <c r="C86" s="2">
        <v>2.8200000000000002E-4</v>
      </c>
      <c r="D86" s="1">
        <v>815834</v>
      </c>
      <c r="E86" t="s">
        <v>64</v>
      </c>
      <c r="F86" s="3">
        <v>6.1899999999999997E-2</v>
      </c>
      <c r="G86" t="s">
        <v>11</v>
      </c>
    </row>
    <row r="87" spans="1:7" x14ac:dyDescent="0.25">
      <c r="A87" t="s">
        <v>171</v>
      </c>
      <c r="B87" s="1">
        <v>209288490</v>
      </c>
      <c r="C87" s="2">
        <v>0.20949799999999999</v>
      </c>
      <c r="D87" s="1">
        <v>3488360</v>
      </c>
      <c r="E87" t="s">
        <v>24</v>
      </c>
      <c r="F87" s="3">
        <v>-1.9400000000000001E-2</v>
      </c>
      <c r="G87" t="s">
        <v>11</v>
      </c>
    </row>
    <row r="88" spans="1:7" x14ac:dyDescent="0.25">
      <c r="A88" t="s">
        <v>172</v>
      </c>
      <c r="B88" s="1">
        <v>200858811</v>
      </c>
      <c r="C88" s="2">
        <v>5.1100000000000003</v>
      </c>
      <c r="D88" s="1">
        <v>5576340</v>
      </c>
      <c r="E88" t="s">
        <v>260</v>
      </c>
      <c r="F88" s="3">
        <v>1.9099999999999999E-2</v>
      </c>
      <c r="G88" t="s">
        <v>11</v>
      </c>
    </row>
    <row r="89" spans="1:7" x14ac:dyDescent="0.25">
      <c r="A89" t="s">
        <v>161</v>
      </c>
      <c r="B89" s="1">
        <v>200713119</v>
      </c>
      <c r="C89" s="2">
        <v>0.13880799999999999</v>
      </c>
      <c r="D89" s="1">
        <v>1998290</v>
      </c>
      <c r="E89" t="s">
        <v>73</v>
      </c>
      <c r="F89" s="3">
        <v>9.4999999999999998E-3</v>
      </c>
      <c r="G89" t="s">
        <v>11</v>
      </c>
    </row>
    <row r="90" spans="1:7" x14ac:dyDescent="0.25">
      <c r="A90" t="s">
        <v>174</v>
      </c>
      <c r="B90" s="1">
        <v>198516660</v>
      </c>
      <c r="C90" s="2">
        <v>22.35</v>
      </c>
      <c r="D90" s="1">
        <v>375762</v>
      </c>
      <c r="E90" t="s">
        <v>254</v>
      </c>
      <c r="F90" s="3">
        <v>2.9399999999999999E-2</v>
      </c>
      <c r="G90" t="s">
        <v>11</v>
      </c>
    </row>
    <row r="91" spans="1:7" x14ac:dyDescent="0.25">
      <c r="A91" t="s">
        <v>175</v>
      </c>
      <c r="B91" s="1">
        <v>195545435</v>
      </c>
      <c r="C91" s="2">
        <v>0.30484299999999998</v>
      </c>
      <c r="D91" s="1">
        <v>3324020</v>
      </c>
      <c r="E91" t="s">
        <v>176</v>
      </c>
      <c r="F91" s="3">
        <v>1.2800000000000001E-2</v>
      </c>
      <c r="G91" t="s">
        <v>11</v>
      </c>
    </row>
    <row r="92" spans="1:7" x14ac:dyDescent="0.25">
      <c r="A92" t="s">
        <v>167</v>
      </c>
      <c r="B92" s="1">
        <v>195212397</v>
      </c>
      <c r="C92" s="2">
        <v>2.61</v>
      </c>
      <c r="D92" s="1">
        <v>4652710</v>
      </c>
      <c r="E92" t="s">
        <v>65</v>
      </c>
      <c r="F92" s="3">
        <v>1.2500000000000001E-2</v>
      </c>
      <c r="G92" t="s">
        <v>11</v>
      </c>
    </row>
    <row r="93" spans="1:7" x14ac:dyDescent="0.25">
      <c r="A93" t="s">
        <v>151</v>
      </c>
      <c r="B93" s="1">
        <v>194080430</v>
      </c>
      <c r="C93" s="2">
        <v>0.85353299999999999</v>
      </c>
      <c r="D93" s="1">
        <v>415239</v>
      </c>
      <c r="E93" t="s">
        <v>77</v>
      </c>
      <c r="F93" s="3">
        <v>1.9400000000000001E-2</v>
      </c>
      <c r="G93" t="s">
        <v>11</v>
      </c>
    </row>
    <row r="94" spans="1:7" x14ac:dyDescent="0.25">
      <c r="A94" t="s">
        <v>179</v>
      </c>
      <c r="B94" s="1">
        <v>181962586</v>
      </c>
      <c r="C94" s="2">
        <v>14.15</v>
      </c>
      <c r="D94" s="1">
        <v>3432670</v>
      </c>
      <c r="E94" t="s">
        <v>302</v>
      </c>
      <c r="F94" s="3">
        <v>1.6500000000000001E-2</v>
      </c>
      <c r="G94" t="s">
        <v>11</v>
      </c>
    </row>
    <row r="95" spans="1:7" x14ac:dyDescent="0.25">
      <c r="A95" t="s">
        <v>256</v>
      </c>
      <c r="B95" s="1">
        <v>180045327</v>
      </c>
      <c r="C95" s="2">
        <v>35.770000000000003</v>
      </c>
      <c r="D95" s="1">
        <v>1506060</v>
      </c>
      <c r="E95" t="s">
        <v>303</v>
      </c>
      <c r="F95" s="3">
        <v>0.22120000000000001</v>
      </c>
      <c r="G95" t="s">
        <v>11</v>
      </c>
    </row>
    <row r="96" spans="1:7" x14ac:dyDescent="0.25">
      <c r="A96" t="s">
        <v>255</v>
      </c>
      <c r="B96" s="1">
        <v>178751045</v>
      </c>
      <c r="C96" s="2">
        <v>4.1500000000000004</v>
      </c>
      <c r="D96" s="1">
        <v>2114360</v>
      </c>
      <c r="E96" t="s">
        <v>304</v>
      </c>
      <c r="F96" s="3">
        <v>1.18E-2</v>
      </c>
      <c r="G96" t="s">
        <v>11</v>
      </c>
    </row>
    <row r="97" spans="1:7" x14ac:dyDescent="0.25">
      <c r="A97" t="s">
        <v>173</v>
      </c>
      <c r="B97" s="1">
        <v>170887847</v>
      </c>
      <c r="C97" s="2">
        <v>1.63</v>
      </c>
      <c r="D97" s="1">
        <v>1873490</v>
      </c>
      <c r="E97" t="s">
        <v>74</v>
      </c>
      <c r="F97" s="3">
        <v>1.5599999999999999E-2</v>
      </c>
      <c r="G97" t="s">
        <v>11</v>
      </c>
    </row>
    <row r="98" spans="1:7" x14ac:dyDescent="0.25">
      <c r="A98" t="s">
        <v>257</v>
      </c>
      <c r="B98" s="1">
        <v>165518597</v>
      </c>
      <c r="C98" s="2">
        <v>0.268127</v>
      </c>
      <c r="D98" s="1">
        <v>2842300</v>
      </c>
      <c r="E98" t="s">
        <v>258</v>
      </c>
      <c r="F98" s="3">
        <v>1.4E-2</v>
      </c>
      <c r="G98" t="s">
        <v>11</v>
      </c>
    </row>
    <row r="99" spans="1:7" x14ac:dyDescent="0.25">
      <c r="A99" t="s">
        <v>180</v>
      </c>
      <c r="B99" s="1">
        <v>165502406</v>
      </c>
      <c r="C99" s="2">
        <v>0.35935600000000001</v>
      </c>
      <c r="D99" s="1">
        <v>1366460</v>
      </c>
      <c r="E99" t="s">
        <v>259</v>
      </c>
      <c r="F99" s="3">
        <v>-7.5999999999999998E-2</v>
      </c>
      <c r="G99" t="s">
        <v>11</v>
      </c>
    </row>
    <row r="100" spans="1:7" x14ac:dyDescent="0.25">
      <c r="A100" t="s">
        <v>169</v>
      </c>
      <c r="B100" s="1">
        <v>162026435</v>
      </c>
      <c r="C100" s="2">
        <v>0.35802800000000001</v>
      </c>
      <c r="D100" s="1">
        <v>2252460</v>
      </c>
      <c r="E100" t="s">
        <v>21</v>
      </c>
      <c r="F100" s="3">
        <v>-1.1299999999999999E-2</v>
      </c>
      <c r="G100" t="s">
        <v>11</v>
      </c>
    </row>
    <row r="101" spans="1:7" x14ac:dyDescent="0.25">
      <c r="A101" t="s">
        <v>263</v>
      </c>
      <c r="B101" s="1">
        <v>158436579</v>
      </c>
      <c r="C101" s="2">
        <v>3.83</v>
      </c>
      <c r="D101" s="1">
        <v>1017340</v>
      </c>
      <c r="E101" t="s">
        <v>264</v>
      </c>
      <c r="F101" s="3">
        <v>4.24E-2</v>
      </c>
      <c r="G101" t="s">
        <v>11</v>
      </c>
    </row>
    <row r="102" spans="1:7" x14ac:dyDescent="0.25">
      <c r="A102" t="s">
        <v>203</v>
      </c>
      <c r="B102" s="1"/>
      <c r="C102" s="2"/>
      <c r="D102" s="1"/>
      <c r="F102" s="3"/>
    </row>
    <row r="103" spans="1:7" x14ac:dyDescent="0.25">
      <c r="A103" t="s">
        <v>204</v>
      </c>
      <c r="B103" s="1"/>
      <c r="C103" s="2"/>
      <c r="D103" s="1"/>
      <c r="F103" s="3"/>
    </row>
    <row r="104" spans="1:7" x14ac:dyDescent="0.25">
      <c r="A104" t="s">
        <v>205</v>
      </c>
    </row>
    <row r="105" spans="1:7" x14ac:dyDescent="0.25">
      <c r="A105" t="s">
        <v>206</v>
      </c>
    </row>
    <row r="106" spans="1:7" x14ac:dyDescent="0.25">
      <c r="A106" t="s">
        <v>207</v>
      </c>
    </row>
    <row r="107" spans="1:7" x14ac:dyDescent="0.25">
      <c r="A107" t="s">
        <v>208</v>
      </c>
    </row>
    <row r="108" spans="1:7" x14ac:dyDescent="0.25">
      <c r="A108" t="s">
        <v>209</v>
      </c>
      <c r="C108" s="1"/>
      <c r="D108" s="2"/>
      <c r="E108" s="1"/>
      <c r="G108" s="3"/>
    </row>
    <row r="109" spans="1:7" x14ac:dyDescent="0.25">
      <c r="A109" t="s">
        <v>210</v>
      </c>
      <c r="C109" s="1"/>
      <c r="D109" s="2"/>
      <c r="E109" s="1"/>
      <c r="G109" s="3"/>
    </row>
    <row r="110" spans="1:7" x14ac:dyDescent="0.25">
      <c r="A110" t="s">
        <v>211</v>
      </c>
      <c r="C110" s="1"/>
      <c r="D110" s="2"/>
      <c r="E110" s="1"/>
      <c r="G110" s="3"/>
    </row>
    <row r="111" spans="1:7" x14ac:dyDescent="0.25">
      <c r="A111" t="s">
        <v>212</v>
      </c>
      <c r="C111" s="1"/>
      <c r="D111" s="2"/>
      <c r="E111" s="1"/>
      <c r="G111" s="3"/>
    </row>
    <row r="112" spans="1:7" x14ac:dyDescent="0.25">
      <c r="A112" t="s">
        <v>213</v>
      </c>
      <c r="C112" s="1"/>
      <c r="D112" s="2"/>
      <c r="E112" s="1"/>
      <c r="G112" s="3"/>
    </row>
    <row r="113" spans="1:7" x14ac:dyDescent="0.25">
      <c r="A113" t="s">
        <v>214</v>
      </c>
      <c r="C113" s="1"/>
      <c r="D113" s="2"/>
      <c r="E113" s="1"/>
      <c r="G113" s="3"/>
    </row>
    <row r="114" spans="1:7" x14ac:dyDescent="0.25">
      <c r="A114" t="s">
        <v>215</v>
      </c>
      <c r="C114" s="1"/>
      <c r="D114" s="2"/>
      <c r="E114" s="1"/>
      <c r="G114" s="3"/>
    </row>
    <row r="115" spans="1:7" x14ac:dyDescent="0.25">
      <c r="A115" t="s">
        <v>216</v>
      </c>
      <c r="C115" s="1"/>
      <c r="D115" s="2"/>
      <c r="E115" s="1"/>
      <c r="G115" s="3"/>
    </row>
    <row r="116" spans="1:7" x14ac:dyDescent="0.25">
      <c r="A116" t="s">
        <v>217</v>
      </c>
      <c r="C116" s="1"/>
      <c r="D116" s="2"/>
      <c r="E116" s="1"/>
      <c r="G116" s="3"/>
    </row>
    <row r="117" spans="1:7" x14ac:dyDescent="0.25">
      <c r="A117" t="s">
        <v>218</v>
      </c>
      <c r="C117" s="1"/>
      <c r="D117" s="2"/>
      <c r="E117" s="1"/>
      <c r="G117" s="3"/>
    </row>
    <row r="118" spans="1:7" x14ac:dyDescent="0.25">
      <c r="A118" t="s">
        <v>219</v>
      </c>
      <c r="C118" s="1"/>
      <c r="D118" s="2"/>
      <c r="E118" s="1"/>
      <c r="G118" s="3"/>
    </row>
    <row r="119" spans="1:7" x14ac:dyDescent="0.25">
      <c r="A119" t="s">
        <v>220</v>
      </c>
      <c r="C119" s="1"/>
      <c r="D119" s="2"/>
      <c r="E119" s="1"/>
      <c r="G119" s="3"/>
    </row>
    <row r="120" spans="1:7" x14ac:dyDescent="0.25">
      <c r="A120" t="s">
        <v>221</v>
      </c>
      <c r="C120" s="1"/>
      <c r="D120" s="2"/>
      <c r="E120" s="1"/>
      <c r="G120" s="3"/>
    </row>
    <row r="121" spans="1:7" x14ac:dyDescent="0.25">
      <c r="A121" t="s">
        <v>222</v>
      </c>
      <c r="C121" s="1"/>
      <c r="D121" s="2"/>
      <c r="E121" s="1"/>
      <c r="G121" s="3"/>
    </row>
    <row r="122" spans="1:7" x14ac:dyDescent="0.25">
      <c r="A122" t="s">
        <v>223</v>
      </c>
      <c r="C122" s="1"/>
      <c r="D122" s="2"/>
      <c r="E122" s="1"/>
      <c r="G122" s="3"/>
    </row>
    <row r="123" spans="1:7" x14ac:dyDescent="0.25">
      <c r="A123" t="s">
        <v>224</v>
      </c>
      <c r="C123" s="1"/>
      <c r="D123" s="2"/>
      <c r="E123" s="1"/>
      <c r="G123" s="3"/>
    </row>
    <row r="124" spans="1:7" x14ac:dyDescent="0.25">
      <c r="A124" t="s">
        <v>225</v>
      </c>
      <c r="C124" s="1"/>
      <c r="D124" s="2"/>
      <c r="E124" s="1"/>
      <c r="G124" s="3"/>
    </row>
    <row r="125" spans="1:7" x14ac:dyDescent="0.25">
      <c r="C125" s="1"/>
      <c r="D125" s="2"/>
      <c r="E125" s="1"/>
      <c r="G125" s="3"/>
    </row>
    <row r="126" spans="1:7" x14ac:dyDescent="0.25">
      <c r="A126" t="s">
        <v>184</v>
      </c>
      <c r="C126" s="1"/>
      <c r="D126" s="2"/>
      <c r="E126" s="1"/>
      <c r="G126" s="3"/>
    </row>
    <row r="127" spans="1:7" x14ac:dyDescent="0.25">
      <c r="A127" t="s">
        <v>185</v>
      </c>
      <c r="C127" s="1"/>
      <c r="D127" s="2"/>
      <c r="E127" s="1"/>
      <c r="G127" s="3"/>
    </row>
    <row r="128" spans="1:7" x14ac:dyDescent="0.25">
      <c r="A128" t="s">
        <v>186</v>
      </c>
      <c r="C128" s="1"/>
      <c r="D128" s="2"/>
      <c r="E128" s="1"/>
      <c r="G128" s="3"/>
    </row>
    <row r="129" spans="1:7" x14ac:dyDescent="0.25">
      <c r="A129" t="s">
        <v>187</v>
      </c>
      <c r="C129" s="1"/>
      <c r="D129" s="2"/>
      <c r="E129" s="1"/>
      <c r="G129" s="3"/>
    </row>
    <row r="130" spans="1:7" x14ac:dyDescent="0.25">
      <c r="A130" t="s">
        <v>188</v>
      </c>
      <c r="C130" s="1"/>
      <c r="D130" s="2"/>
      <c r="E130" s="1"/>
      <c r="G130" s="3"/>
    </row>
    <row r="131" spans="1:7" x14ac:dyDescent="0.25">
      <c r="A131" t="s">
        <v>189</v>
      </c>
      <c r="C131" s="1"/>
      <c r="D131" s="2"/>
      <c r="E131" s="1"/>
      <c r="G131" s="3"/>
    </row>
    <row r="132" spans="1:7" x14ac:dyDescent="0.25">
      <c r="A132" t="s">
        <v>190</v>
      </c>
      <c r="C132" s="1"/>
      <c r="D132" s="2"/>
      <c r="E132" s="1"/>
      <c r="G132" s="3"/>
    </row>
    <row r="133" spans="1:7" x14ac:dyDescent="0.25">
      <c r="A133" t="s">
        <v>191</v>
      </c>
      <c r="C133" s="1"/>
      <c r="D133" s="2"/>
      <c r="E133" s="1"/>
      <c r="G133" s="3"/>
    </row>
    <row r="134" spans="1:7" x14ac:dyDescent="0.25">
      <c r="A134" t="s">
        <v>192</v>
      </c>
      <c r="C134" s="1"/>
      <c r="D134" s="2"/>
      <c r="E134" s="1"/>
      <c r="G134" s="3"/>
    </row>
    <row r="135" spans="1:7" x14ac:dyDescent="0.25">
      <c r="A135" t="s">
        <v>193</v>
      </c>
      <c r="C135" s="1"/>
      <c r="D135" s="2"/>
      <c r="E135" s="1"/>
      <c r="G135" s="3"/>
    </row>
    <row r="136" spans="1:7" x14ac:dyDescent="0.25">
      <c r="A136" t="s">
        <v>194</v>
      </c>
      <c r="C136" s="1"/>
      <c r="D136" s="2"/>
      <c r="E136" s="1"/>
      <c r="G136" s="3"/>
    </row>
    <row r="137" spans="1:7" x14ac:dyDescent="0.25">
      <c r="A137" t="s">
        <v>195</v>
      </c>
      <c r="C137" s="1"/>
      <c r="D137" s="2"/>
      <c r="E137" s="1"/>
      <c r="G137" s="3"/>
    </row>
    <row r="138" spans="1:7" x14ac:dyDescent="0.25">
      <c r="A138" t="s">
        <v>196</v>
      </c>
      <c r="C138" s="1"/>
      <c r="D138" s="2"/>
      <c r="E138" s="1"/>
      <c r="G138" s="3"/>
    </row>
    <row r="139" spans="1:7" x14ac:dyDescent="0.25">
      <c r="A139" t="s">
        <v>197</v>
      </c>
      <c r="C139" s="1"/>
      <c r="D139" s="2"/>
      <c r="E139" s="1"/>
      <c r="G139" s="3"/>
    </row>
    <row r="140" spans="1:7" x14ac:dyDescent="0.25">
      <c r="A140" t="s">
        <v>198</v>
      </c>
      <c r="C140" s="1"/>
      <c r="D140" s="2"/>
      <c r="E140" s="1"/>
      <c r="G140" s="3"/>
    </row>
    <row r="141" spans="1:7" x14ac:dyDescent="0.25">
      <c r="A141" t="s">
        <v>199</v>
      </c>
      <c r="C141" s="1"/>
      <c r="D141" s="2"/>
      <c r="E141" s="1"/>
      <c r="G141" s="3"/>
    </row>
    <row r="142" spans="1:7" x14ac:dyDescent="0.25">
      <c r="A142" t="s">
        <v>200</v>
      </c>
      <c r="C142" s="1"/>
      <c r="D142" s="2"/>
      <c r="E142" s="1"/>
      <c r="G142" s="3"/>
    </row>
    <row r="143" spans="1:7" x14ac:dyDescent="0.25">
      <c r="A143" t="s">
        <v>201</v>
      </c>
    </row>
    <row r="144" spans="1:7" x14ac:dyDescent="0.25">
      <c r="A144" t="s">
        <v>202</v>
      </c>
    </row>
    <row r="145" spans="1:1" x14ac:dyDescent="0.25">
      <c r="A145" t="s">
        <v>202</v>
      </c>
    </row>
    <row r="146" spans="1:1" x14ac:dyDescent="0.25">
      <c r="A146" t="s">
        <v>226</v>
      </c>
    </row>
    <row r="147" spans="1:1" x14ac:dyDescent="0.25">
      <c r="A147" t="s">
        <v>227</v>
      </c>
    </row>
    <row r="148" spans="1:1" x14ac:dyDescent="0.25">
      <c r="A148" t="s">
        <v>228</v>
      </c>
    </row>
    <row r="149" spans="1:1" x14ac:dyDescent="0.25">
      <c r="A149" t="s">
        <v>229</v>
      </c>
    </row>
    <row r="150" spans="1:1" x14ac:dyDescent="0.25">
      <c r="A150" t="s">
        <v>230</v>
      </c>
    </row>
    <row r="151" spans="1:1" x14ac:dyDescent="0.25">
      <c r="A151" t="s">
        <v>0</v>
      </c>
    </row>
    <row r="152" spans="1:1" x14ac:dyDescent="0.25">
      <c r="A152" t="s">
        <v>1</v>
      </c>
    </row>
    <row r="153" spans="1:1" x14ac:dyDescent="0.25">
      <c r="A153" t="s">
        <v>231</v>
      </c>
    </row>
    <row r="154" spans="1:1" x14ac:dyDescent="0.25">
      <c r="A154" t="s">
        <v>232</v>
      </c>
    </row>
    <row r="155" spans="1:1" x14ac:dyDescent="0.25">
      <c r="A155" t="s">
        <v>233</v>
      </c>
    </row>
    <row r="156" spans="1:1" x14ac:dyDescent="0.25">
      <c r="A156" t="s">
        <v>234</v>
      </c>
    </row>
    <row r="157" spans="1:1" x14ac:dyDescent="0.25">
      <c r="A157" t="s">
        <v>232</v>
      </c>
    </row>
    <row r="158" spans="1:1" x14ac:dyDescent="0.25">
      <c r="A158" t="s">
        <v>233</v>
      </c>
    </row>
    <row r="159" spans="1:1" x14ac:dyDescent="0.25">
      <c r="A159" t="s">
        <v>235</v>
      </c>
    </row>
    <row r="160" spans="1:1" x14ac:dyDescent="0.25">
      <c r="A160" t="s">
        <v>236</v>
      </c>
    </row>
    <row r="161" spans="1:1" x14ac:dyDescent="0.25">
      <c r="A161" t="s">
        <v>237</v>
      </c>
    </row>
    <row r="162" spans="1:1" x14ac:dyDescent="0.25">
      <c r="A162" t="s">
        <v>238</v>
      </c>
    </row>
    <row r="163" spans="1:1" x14ac:dyDescent="0.25">
      <c r="A163" t="s">
        <v>232</v>
      </c>
    </row>
    <row r="164" spans="1:1" x14ac:dyDescent="0.25">
      <c r="A164" t="s">
        <v>233</v>
      </c>
    </row>
    <row r="165" spans="1:1" x14ac:dyDescent="0.25">
      <c r="A165" t="s">
        <v>235</v>
      </c>
    </row>
    <row r="166" spans="1:1" x14ac:dyDescent="0.25">
      <c r="A166" t="s">
        <v>236</v>
      </c>
    </row>
    <row r="167" spans="1:1" x14ac:dyDescent="0.25">
      <c r="A167" t="s">
        <v>2</v>
      </c>
    </row>
    <row r="168" spans="1:1" x14ac:dyDescent="0.25">
      <c r="A168">
        <v>1</v>
      </c>
    </row>
    <row r="169" spans="1:1" x14ac:dyDescent="0.25">
      <c r="A169">
        <v>2</v>
      </c>
    </row>
    <row r="170" spans="1:1" x14ac:dyDescent="0.25">
      <c r="A170">
        <v>3</v>
      </c>
    </row>
    <row r="171" spans="1:1" x14ac:dyDescent="0.25">
      <c r="A171">
        <v>4</v>
      </c>
    </row>
    <row r="172" spans="1:1" x14ac:dyDescent="0.25">
      <c r="A172">
        <v>5</v>
      </c>
    </row>
    <row r="173" spans="1:1" x14ac:dyDescent="0.25">
      <c r="A173">
        <v>6</v>
      </c>
    </row>
    <row r="174" spans="1:1" x14ac:dyDescent="0.25">
      <c r="A174">
        <v>7</v>
      </c>
    </row>
    <row r="175" spans="1:1" x14ac:dyDescent="0.25">
      <c r="A175">
        <v>8</v>
      </c>
    </row>
    <row r="176" spans="1:1" x14ac:dyDescent="0.25">
      <c r="A176">
        <v>9</v>
      </c>
    </row>
    <row r="177" spans="1:1" x14ac:dyDescent="0.25">
      <c r="A177">
        <v>10</v>
      </c>
    </row>
    <row r="178" spans="1:1" x14ac:dyDescent="0.25">
      <c r="A178">
        <v>11</v>
      </c>
    </row>
    <row r="179" spans="1:1" x14ac:dyDescent="0.25">
      <c r="A179">
        <v>12</v>
      </c>
    </row>
    <row r="180" spans="1:1" x14ac:dyDescent="0.25">
      <c r="A180">
        <v>13</v>
      </c>
    </row>
    <row r="181" spans="1:1" x14ac:dyDescent="0.25">
      <c r="A181">
        <v>14</v>
      </c>
    </row>
    <row r="182" spans="1:1" x14ac:dyDescent="0.25">
      <c r="A182">
        <v>15</v>
      </c>
    </row>
    <row r="183" spans="1:1" x14ac:dyDescent="0.25">
      <c r="A183">
        <v>16</v>
      </c>
    </row>
    <row r="184" spans="1:1" x14ac:dyDescent="0.25">
      <c r="A184">
        <v>17</v>
      </c>
    </row>
    <row r="185" spans="1:1" x14ac:dyDescent="0.25">
      <c r="A185">
        <v>18</v>
      </c>
    </row>
    <row r="186" spans="1:1" x14ac:dyDescent="0.25">
      <c r="A186">
        <v>19</v>
      </c>
    </row>
    <row r="187" spans="1:1" x14ac:dyDescent="0.25">
      <c r="A187">
        <v>20</v>
      </c>
    </row>
    <row r="188" spans="1:1" x14ac:dyDescent="0.25">
      <c r="A188">
        <v>21</v>
      </c>
    </row>
    <row r="189" spans="1:1" x14ac:dyDescent="0.25">
      <c r="A189">
        <v>22</v>
      </c>
    </row>
    <row r="190" spans="1:1" x14ac:dyDescent="0.25">
      <c r="A190">
        <v>23</v>
      </c>
    </row>
    <row r="191" spans="1:1" x14ac:dyDescent="0.25">
      <c r="A191">
        <v>24</v>
      </c>
    </row>
    <row r="192" spans="1:1" x14ac:dyDescent="0.25">
      <c r="A192">
        <v>25</v>
      </c>
    </row>
    <row r="193" spans="1:1" x14ac:dyDescent="0.25">
      <c r="A193">
        <v>26</v>
      </c>
    </row>
    <row r="194" spans="1:1" x14ac:dyDescent="0.25">
      <c r="A194">
        <v>27</v>
      </c>
    </row>
    <row r="195" spans="1:1" x14ac:dyDescent="0.25">
      <c r="A195">
        <v>28</v>
      </c>
    </row>
    <row r="196" spans="1:1" x14ac:dyDescent="0.25">
      <c r="A196">
        <v>29</v>
      </c>
    </row>
    <row r="197" spans="1:1" x14ac:dyDescent="0.25">
      <c r="A197">
        <v>30</v>
      </c>
    </row>
    <row r="198" spans="1:1" x14ac:dyDescent="0.25">
      <c r="A198">
        <v>31</v>
      </c>
    </row>
    <row r="199" spans="1:1" x14ac:dyDescent="0.25">
      <c r="A199">
        <v>32</v>
      </c>
    </row>
    <row r="200" spans="1:1" x14ac:dyDescent="0.25">
      <c r="A200">
        <v>33</v>
      </c>
    </row>
    <row r="201" spans="1:1" x14ac:dyDescent="0.25">
      <c r="A201">
        <v>34</v>
      </c>
    </row>
    <row r="202" spans="1:1" x14ac:dyDescent="0.25">
      <c r="A202">
        <v>35</v>
      </c>
    </row>
    <row r="203" spans="1:1" x14ac:dyDescent="0.25">
      <c r="A203">
        <v>36</v>
      </c>
    </row>
    <row r="204" spans="1:1" x14ac:dyDescent="0.25">
      <c r="A204">
        <v>37</v>
      </c>
    </row>
    <row r="205" spans="1:1" x14ac:dyDescent="0.25">
      <c r="A205">
        <v>38</v>
      </c>
    </row>
    <row r="206" spans="1:1" x14ac:dyDescent="0.25">
      <c r="A206">
        <v>39</v>
      </c>
    </row>
    <row r="207" spans="1:1" x14ac:dyDescent="0.25">
      <c r="A207">
        <v>40</v>
      </c>
    </row>
    <row r="208" spans="1:1" x14ac:dyDescent="0.25">
      <c r="A208">
        <v>41</v>
      </c>
    </row>
    <row r="209" spans="1:1" x14ac:dyDescent="0.25">
      <c r="A209">
        <v>42</v>
      </c>
    </row>
    <row r="210" spans="1:1" x14ac:dyDescent="0.25">
      <c r="A210">
        <v>43</v>
      </c>
    </row>
    <row r="211" spans="1:1" x14ac:dyDescent="0.25">
      <c r="A211">
        <v>44</v>
      </c>
    </row>
    <row r="212" spans="1:1" x14ac:dyDescent="0.25">
      <c r="A212">
        <v>45</v>
      </c>
    </row>
    <row r="213" spans="1:1" x14ac:dyDescent="0.25">
      <c r="A213">
        <v>46</v>
      </c>
    </row>
    <row r="214" spans="1:1" x14ac:dyDescent="0.25">
      <c r="A214">
        <v>47</v>
      </c>
    </row>
    <row r="215" spans="1:1" x14ac:dyDescent="0.25">
      <c r="A215">
        <v>48</v>
      </c>
    </row>
    <row r="216" spans="1:1" x14ac:dyDescent="0.25">
      <c r="A216">
        <v>49</v>
      </c>
    </row>
    <row r="217" spans="1:1" x14ac:dyDescent="0.25">
      <c r="A217">
        <v>50</v>
      </c>
    </row>
    <row r="218" spans="1:1" x14ac:dyDescent="0.25">
      <c r="A218">
        <v>51</v>
      </c>
    </row>
    <row r="219" spans="1:1" x14ac:dyDescent="0.25">
      <c r="A219">
        <v>52</v>
      </c>
    </row>
    <row r="220" spans="1:1" x14ac:dyDescent="0.25">
      <c r="A220">
        <v>53</v>
      </c>
    </row>
    <row r="221" spans="1:1" x14ac:dyDescent="0.25">
      <c r="A221">
        <v>54</v>
      </c>
    </row>
    <row r="222" spans="1:1" x14ac:dyDescent="0.25">
      <c r="A222">
        <v>55</v>
      </c>
    </row>
    <row r="223" spans="1:1" x14ac:dyDescent="0.25">
      <c r="A223">
        <v>56</v>
      </c>
    </row>
    <row r="224" spans="1:1" x14ac:dyDescent="0.25">
      <c r="A224">
        <v>57</v>
      </c>
    </row>
    <row r="225" spans="1:1" x14ac:dyDescent="0.25">
      <c r="A225">
        <v>58</v>
      </c>
    </row>
    <row r="226" spans="1:1" x14ac:dyDescent="0.25">
      <c r="A226">
        <v>59</v>
      </c>
    </row>
    <row r="227" spans="1:1" x14ac:dyDescent="0.25">
      <c r="A227">
        <v>60</v>
      </c>
    </row>
    <row r="228" spans="1:1" x14ac:dyDescent="0.25">
      <c r="A228">
        <v>61</v>
      </c>
    </row>
    <row r="229" spans="1:1" x14ac:dyDescent="0.25">
      <c r="A229">
        <v>62</v>
      </c>
    </row>
    <row r="230" spans="1:1" x14ac:dyDescent="0.25">
      <c r="A230">
        <v>63</v>
      </c>
    </row>
    <row r="231" spans="1:1" x14ac:dyDescent="0.25">
      <c r="A231">
        <v>64</v>
      </c>
    </row>
    <row r="232" spans="1:1" x14ac:dyDescent="0.25">
      <c r="A232">
        <v>65</v>
      </c>
    </row>
    <row r="233" spans="1:1" x14ac:dyDescent="0.25">
      <c r="A233">
        <v>66</v>
      </c>
    </row>
    <row r="234" spans="1:1" x14ac:dyDescent="0.25">
      <c r="A234">
        <v>67</v>
      </c>
    </row>
    <row r="235" spans="1:1" x14ac:dyDescent="0.25">
      <c r="A235">
        <v>68</v>
      </c>
    </row>
    <row r="236" spans="1:1" x14ac:dyDescent="0.25">
      <c r="A236">
        <v>69</v>
      </c>
    </row>
    <row r="237" spans="1:1" x14ac:dyDescent="0.25">
      <c r="A237">
        <v>70</v>
      </c>
    </row>
    <row r="238" spans="1:1" x14ac:dyDescent="0.25">
      <c r="A238">
        <v>71</v>
      </c>
    </row>
    <row r="239" spans="1:1" x14ac:dyDescent="0.25">
      <c r="A239">
        <v>72</v>
      </c>
    </row>
    <row r="240" spans="1:1" x14ac:dyDescent="0.25">
      <c r="A240">
        <v>73</v>
      </c>
    </row>
    <row r="241" spans="1:1" x14ac:dyDescent="0.25">
      <c r="A241">
        <v>74</v>
      </c>
    </row>
    <row r="242" spans="1:1" x14ac:dyDescent="0.25">
      <c r="A242">
        <v>75</v>
      </c>
    </row>
    <row r="243" spans="1:1" x14ac:dyDescent="0.25">
      <c r="A243">
        <v>76</v>
      </c>
    </row>
    <row r="244" spans="1:1" x14ac:dyDescent="0.25">
      <c r="A244">
        <v>77</v>
      </c>
    </row>
    <row r="245" spans="1:1" x14ac:dyDescent="0.25">
      <c r="A245">
        <v>78</v>
      </c>
    </row>
    <row r="246" spans="1:1" x14ac:dyDescent="0.25">
      <c r="A246">
        <v>79</v>
      </c>
    </row>
    <row r="247" spans="1:1" x14ac:dyDescent="0.25">
      <c r="A247">
        <v>80</v>
      </c>
    </row>
    <row r="248" spans="1:1" x14ac:dyDescent="0.25">
      <c r="A248">
        <v>81</v>
      </c>
    </row>
    <row r="249" spans="1:1" x14ac:dyDescent="0.25">
      <c r="A249">
        <v>82</v>
      </c>
    </row>
    <row r="250" spans="1:1" x14ac:dyDescent="0.25">
      <c r="A250">
        <v>83</v>
      </c>
    </row>
    <row r="251" spans="1:1" x14ac:dyDescent="0.25">
      <c r="A251">
        <v>84</v>
      </c>
    </row>
    <row r="252" spans="1:1" x14ac:dyDescent="0.25">
      <c r="A252">
        <v>85</v>
      </c>
    </row>
    <row r="253" spans="1:1" x14ac:dyDescent="0.25">
      <c r="A253">
        <v>86</v>
      </c>
    </row>
    <row r="254" spans="1:1" x14ac:dyDescent="0.25">
      <c r="A254">
        <v>87</v>
      </c>
    </row>
    <row r="255" spans="1:1" x14ac:dyDescent="0.25">
      <c r="A255">
        <v>88</v>
      </c>
    </row>
    <row r="256" spans="1:1" x14ac:dyDescent="0.25">
      <c r="A256">
        <v>89</v>
      </c>
    </row>
    <row r="257" spans="1:7" x14ac:dyDescent="0.25">
      <c r="A257">
        <v>90</v>
      </c>
    </row>
    <row r="258" spans="1:7" x14ac:dyDescent="0.25">
      <c r="A258">
        <v>91</v>
      </c>
    </row>
    <row r="259" spans="1:7" x14ac:dyDescent="0.25">
      <c r="A259">
        <v>92</v>
      </c>
    </row>
    <row r="260" spans="1:7" x14ac:dyDescent="0.25">
      <c r="A260">
        <v>93</v>
      </c>
    </row>
    <row r="261" spans="1:7" x14ac:dyDescent="0.25">
      <c r="A261">
        <v>94</v>
      </c>
    </row>
    <row r="262" spans="1:7" x14ac:dyDescent="0.25">
      <c r="A262">
        <v>95</v>
      </c>
    </row>
    <row r="263" spans="1:7" x14ac:dyDescent="0.25">
      <c r="A263">
        <v>96</v>
      </c>
    </row>
    <row r="264" spans="1:7" x14ac:dyDescent="0.25">
      <c r="A264">
        <v>97</v>
      </c>
    </row>
    <row r="265" spans="1:7" x14ac:dyDescent="0.25">
      <c r="A265">
        <v>98</v>
      </c>
    </row>
    <row r="266" spans="1:7" x14ac:dyDescent="0.25">
      <c r="A266">
        <v>99</v>
      </c>
    </row>
    <row r="267" spans="1:7" x14ac:dyDescent="0.25">
      <c r="A267">
        <v>100</v>
      </c>
    </row>
    <row r="268" spans="1:7" x14ac:dyDescent="0.25">
      <c r="A268" t="s">
        <v>0</v>
      </c>
      <c r="C268" s="1"/>
      <c r="D268" s="2"/>
      <c r="E268" s="1"/>
      <c r="G268" s="3"/>
    </row>
    <row r="269" spans="1:7" x14ac:dyDescent="0.25">
      <c r="A269" t="s">
        <v>1</v>
      </c>
      <c r="C269" s="1"/>
      <c r="D269" s="2"/>
      <c r="E269" s="1"/>
      <c r="G269" s="3"/>
    </row>
    <row r="270" spans="1:7" x14ac:dyDescent="0.25">
      <c r="A270" t="s">
        <v>33</v>
      </c>
      <c r="C270" s="1"/>
      <c r="D270" s="2"/>
      <c r="E270" s="1"/>
      <c r="G270" s="3"/>
    </row>
    <row r="271" spans="1:7" x14ac:dyDescent="0.25">
      <c r="A271" t="s">
        <v>307</v>
      </c>
      <c r="C271" s="1"/>
      <c r="D271" s="2"/>
      <c r="E271" s="1"/>
      <c r="G271" s="3"/>
    </row>
    <row r="272" spans="1:7" x14ac:dyDescent="0.25">
      <c r="C272" s="1"/>
      <c r="D272" s="2"/>
      <c r="E272" s="1"/>
      <c r="G272" s="3"/>
    </row>
    <row r="273" spans="1:7" x14ac:dyDescent="0.25">
      <c r="A273" t="s">
        <v>308</v>
      </c>
      <c r="C273" s="1"/>
      <c r="D273" s="2"/>
      <c r="E273" s="1"/>
      <c r="G273" s="3"/>
    </row>
    <row r="274" spans="1:7" x14ac:dyDescent="0.25">
      <c r="C274" s="1"/>
      <c r="D274" s="2"/>
      <c r="E274" s="1"/>
      <c r="G274" s="3"/>
    </row>
    <row r="275" spans="1:7" x14ac:dyDescent="0.25">
      <c r="A275" t="s">
        <v>76</v>
      </c>
      <c r="C275" s="1"/>
      <c r="D275" s="2"/>
      <c r="E275" s="1"/>
      <c r="G275" s="3"/>
    </row>
    <row r="276" spans="1:7" x14ac:dyDescent="0.25">
      <c r="C276" s="1"/>
      <c r="D276" s="2"/>
      <c r="E276" s="1"/>
      <c r="G276" s="3"/>
    </row>
    <row r="277" spans="1:7" x14ac:dyDescent="0.25">
      <c r="A277" t="s">
        <v>56</v>
      </c>
      <c r="C277" s="1"/>
      <c r="D277" s="2"/>
      <c r="E277" s="1"/>
      <c r="G277" s="3"/>
    </row>
    <row r="278" spans="1:7" x14ac:dyDescent="0.25">
      <c r="A278" t="s">
        <v>57</v>
      </c>
      <c r="C278" s="1"/>
      <c r="D278" s="2"/>
      <c r="E278" s="1"/>
      <c r="G278" s="3"/>
    </row>
    <row r="279" spans="1:7" x14ac:dyDescent="0.25">
      <c r="A279" t="s">
        <v>34</v>
      </c>
      <c r="C279" s="1"/>
      <c r="D279" s="2"/>
      <c r="E279" s="1"/>
      <c r="G279" s="3"/>
    </row>
    <row r="280" spans="1:7" x14ac:dyDescent="0.25">
      <c r="C280" s="1"/>
      <c r="D280" s="2"/>
      <c r="E280" s="1"/>
      <c r="G280" s="3"/>
    </row>
    <row r="281" spans="1:7" x14ac:dyDescent="0.25">
      <c r="A281" t="s">
        <v>66</v>
      </c>
      <c r="C281" s="1"/>
      <c r="D281" s="2"/>
      <c r="E281" s="1"/>
      <c r="G281" s="3"/>
    </row>
    <row r="282" spans="1:7" x14ac:dyDescent="0.25">
      <c r="A282" t="s">
        <v>35</v>
      </c>
      <c r="C282" s="1"/>
      <c r="D282" s="2"/>
      <c r="E282" s="1"/>
      <c r="G282" s="3"/>
    </row>
    <row r="283" spans="1:7" x14ac:dyDescent="0.25">
      <c r="A283" t="s">
        <v>36</v>
      </c>
      <c r="C283" s="1"/>
      <c r="D283" s="2"/>
      <c r="E283" s="1"/>
      <c r="G283" s="3"/>
    </row>
    <row r="284" spans="1:7" x14ac:dyDescent="0.25">
      <c r="A284" t="s">
        <v>181</v>
      </c>
      <c r="C284" s="1"/>
      <c r="D284" s="2"/>
      <c r="E284" s="1"/>
      <c r="G284" s="3"/>
    </row>
    <row r="285" spans="1:7" x14ac:dyDescent="0.25">
      <c r="C285" s="1"/>
      <c r="D285" s="2"/>
      <c r="E285" s="1"/>
      <c r="G285" s="3"/>
    </row>
    <row r="286" spans="1:7" x14ac:dyDescent="0.25">
      <c r="A286" t="s">
        <v>37</v>
      </c>
      <c r="C286" s="1"/>
      <c r="D286" s="2"/>
      <c r="E286" s="1"/>
      <c r="G286" s="3"/>
    </row>
    <row r="287" spans="1:7" x14ac:dyDescent="0.25">
      <c r="A287" t="s">
        <v>38</v>
      </c>
    </row>
    <row r="288" spans="1:7" x14ac:dyDescent="0.25">
      <c r="A288" t="s">
        <v>67</v>
      </c>
    </row>
    <row r="289" spans="1:1" x14ac:dyDescent="0.25">
      <c r="A289" t="s">
        <v>38</v>
      </c>
    </row>
    <row r="290" spans="1:1" x14ac:dyDescent="0.25">
      <c r="A290" t="s">
        <v>37</v>
      </c>
    </row>
    <row r="291" spans="1:1" x14ac:dyDescent="0.25">
      <c r="A291" t="s">
        <v>39</v>
      </c>
    </row>
    <row r="292" spans="1:1" x14ac:dyDescent="0.25">
      <c r="A292" t="s">
        <v>40</v>
      </c>
    </row>
    <row r="293" spans="1:1" x14ac:dyDescent="0.25">
      <c r="A293" t="s">
        <v>39</v>
      </c>
    </row>
    <row r="294" spans="1:1" x14ac:dyDescent="0.25">
      <c r="A294" t="s">
        <v>37</v>
      </c>
    </row>
    <row r="295" spans="1:1" x14ac:dyDescent="0.25">
      <c r="A295" t="s">
        <v>41</v>
      </c>
    </row>
    <row r="296" spans="1:1" x14ac:dyDescent="0.25">
      <c r="A296" t="s">
        <v>42</v>
      </c>
    </row>
    <row r="297" spans="1:1" x14ac:dyDescent="0.25">
      <c r="A297" t="s">
        <v>41</v>
      </c>
    </row>
    <row r="298" spans="1:1" x14ac:dyDescent="0.25">
      <c r="A298" t="s">
        <v>37</v>
      </c>
    </row>
    <row r="299" spans="1:1" x14ac:dyDescent="0.25">
      <c r="A299" t="s">
        <v>182</v>
      </c>
    </row>
    <row r="300" spans="1:1" x14ac:dyDescent="0.25">
      <c r="A300" t="s">
        <v>183</v>
      </c>
    </row>
    <row r="301" spans="1:1" x14ac:dyDescent="0.25">
      <c r="A301" t="s">
        <v>182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Tracker</vt:lpstr>
      <vt:lpstr>Price indx</vt:lpstr>
      <vt:lpstr>'Price indx'!coinmarketcap</vt:lpstr>
    </vt:vector>
  </TitlesOfParts>
  <Company>[Default]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a601898</dc:creator>
  <cp:lastModifiedBy>a601898</cp:lastModifiedBy>
  <dcterms:created xsi:type="dcterms:W3CDTF">2017-11-28T15:57:47Z</dcterms:created>
  <dcterms:modified xsi:type="dcterms:W3CDTF">2018-02-27T21:08:03Z</dcterms:modified>
</cp:coreProperties>
</file>